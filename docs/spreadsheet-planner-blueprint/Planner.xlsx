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Settings" sheetId="2" state="visible" r:id="rId2"/>
    <sheet name="Month" sheetId="3" state="visible" r:id="rId3"/>
    <sheet name="W1" sheetId="4" state="visible" r:id="rId4"/>
    <sheet name="W2" sheetId="5" state="visible" r:id="rId5"/>
    <sheet name="W3" sheetId="6" state="visible" r:id="rId6"/>
    <sheet name="W4" sheetId="7" state="visible" r:id="rId7"/>
    <sheet name="W5" sheetId="8" state="visible" r:id="rId8"/>
    <sheet name="W6" sheetId="9" state="visible" r:id="rId9"/>
    <sheet name="Calc" sheetId="10" state="hidden" r:id="rId10"/>
    <sheet name="Lists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 mmm yyyy"/>
    <numFmt numFmtId="165" formatCode="d mmm"/>
    <numFmt numFmtId="166" formatCode="d"/>
    <numFmt numFmtId="167" formatCode="&quot;Week &quot;0"/>
    <numFmt numFmtId="168" formatCode=";;;"/>
    <numFmt numFmtId="169" formatCode="mmm d"/>
    <numFmt numFmtId="170" formatCode="0.0"/>
  </numFmts>
  <fonts count="26">
    <font>
      <name val="Calibri"/>
      <family val="2"/>
      <color theme="1"/>
      <sz val="11"/>
      <scheme val="minor"/>
    </font>
    <font>
      <name val="Calibri"/>
      <b val="1"/>
      <color rgb="0024566B"/>
      <sz val="20"/>
    </font>
    <font>
      <name val="Calibri"/>
      <b val="1"/>
      <color rgb="00FFFFFF"/>
      <sz val="10"/>
    </font>
    <font>
      <name val="Calibri"/>
      <b val="1"/>
      <color rgb="001E2A30"/>
      <sz val="10"/>
    </font>
    <font>
      <name val="Calibri"/>
      <color rgb="001E2A30"/>
      <sz val="10"/>
    </font>
    <font>
      <name val="Calibri"/>
      <i val="1"/>
      <color rgb="006B7A83"/>
      <sz val="9"/>
    </font>
    <font>
      <name val="Calibri"/>
      <b val="1"/>
      <color rgb="006B7A83"/>
      <sz val="9"/>
    </font>
    <font>
      <name val="Calibri"/>
      <b val="1"/>
      <color rgb="00D1495B"/>
      <sz val="10"/>
    </font>
    <font>
      <name val="Calibri"/>
      <color rgb="0024566B"/>
      <sz val="9"/>
      <u val="single"/>
    </font>
    <font>
      <name val="Calibri"/>
      <color rgb="00FFFFFF"/>
      <sz val="8"/>
    </font>
    <font>
      <name val="Calibri"/>
      <b val="1"/>
      <color rgb="0024566B"/>
      <sz val="11"/>
    </font>
    <font>
      <name val="Calibri"/>
      <b val="1"/>
      <color rgb="0024566B"/>
      <sz val="16"/>
    </font>
    <font>
      <name val="Calibri"/>
      <b val="1"/>
      <color rgb="006B7A83"/>
      <sz val="10"/>
    </font>
    <font>
      <name val="Calibri"/>
      <b val="1"/>
      <color rgb="00FFFFFF"/>
      <sz val="9"/>
    </font>
    <font>
      <name val="Calibri"/>
      <color rgb="001E2A30"/>
      <sz val="9"/>
    </font>
    <font>
      <name val="Calibri"/>
      <b val="1"/>
      <color rgb="00FFFFFF"/>
      <sz val="11"/>
    </font>
    <font>
      <name val="Calibri"/>
      <color rgb="003BA776"/>
      <sz val="10"/>
    </font>
    <font>
      <name val="Calibri"/>
      <b val="1"/>
      <color rgb="0024566B"/>
      <sz val="9"/>
    </font>
    <font>
      <name val="Calibri"/>
      <color rgb="003BA776"/>
      <sz val="9"/>
    </font>
    <font>
      <name val="Calibri"/>
      <i val="1"/>
      <color rgb="006B7A83"/>
      <sz val="8"/>
    </font>
    <font>
      <name val="Calibri"/>
      <color rgb="003BA776"/>
      <sz val="8"/>
    </font>
    <font>
      <name val="Calibri"/>
      <b val="1"/>
      <color rgb="0024566B"/>
      <sz val="22"/>
    </font>
    <font>
      <name val="Calibri"/>
      <color rgb="006B7A83"/>
      <sz val="10"/>
    </font>
    <font>
      <name val="Calibri"/>
      <color rgb="001E2A30"/>
      <sz val="11"/>
    </font>
    <font>
      <name val="Calibri"/>
      <b val="1"/>
      <color rgb="001E2A30"/>
      <sz val="11"/>
    </font>
    <font>
      <name val="Calibri"/>
      <b val="1"/>
      <color rgb="0024566B"/>
      <sz val="12"/>
    </font>
  </fonts>
  <fills count="6">
    <fill>
      <patternFill/>
    </fill>
    <fill>
      <patternFill patternType="gray125"/>
    </fill>
    <fill>
      <patternFill patternType="solid">
        <fgColor rgb="0024566B"/>
        <bgColor rgb="0024566B"/>
      </patternFill>
    </fill>
    <fill>
      <patternFill patternType="solid">
        <fgColor rgb="00FFFFFF"/>
        <bgColor rgb="00FFFFFF"/>
      </patternFill>
    </fill>
    <fill>
      <patternFill patternType="solid">
        <fgColor rgb="00F7F9FA"/>
        <bgColor rgb="00F7F9FA"/>
      </patternFill>
    </fill>
    <fill>
      <patternFill patternType="solid">
        <fgColor rgb="00E8F1F2"/>
        <bgColor rgb="00E8F1F2"/>
      </patternFill>
    </fill>
  </fills>
  <borders count="2">
    <border>
      <left/>
      <right/>
      <top/>
      <bottom/>
      <diagonal/>
    </border>
    <border>
      <left style="thin">
        <color rgb="00D5DDE0"/>
      </left>
      <right style="thin">
        <color rgb="00D5DDE0"/>
      </right>
      <top style="thin">
        <color rgb="00D5DDE0"/>
      </top>
      <bottom style="thin">
        <color rgb="00D5DDE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Protection="1" pivotButton="0" quotePrefix="0" xfId="0">
      <protection locked="0" hidden="0"/>
    </xf>
    <xf numFmtId="0" fontId="5" fillId="0" borderId="0" pivotButton="0" quotePrefix="0" xfId="0"/>
    <xf numFmtId="18" fontId="4" fillId="3" borderId="1" applyProtection="1" pivotButton="0" quotePrefix="0" xfId="0">
      <protection locked="0" hidden="0"/>
    </xf>
    <xf numFmtId="0" fontId="5" fillId="0" borderId="0" applyAlignment="1" pivotButton="0" quotePrefix="0" xfId="0">
      <alignment/>
    </xf>
    <xf numFmtId="0" fontId="6" fillId="0" borderId="0" pivotButton="0" quotePrefix="0" xfId="0"/>
    <xf numFmtId="0" fontId="4" fillId="4" borderId="1" pivotButton="0" quotePrefix="0" xfId="0"/>
    <xf numFmtId="0" fontId="4" fillId="3" borderId="1" applyAlignment="1" applyProtection="1" pivotButton="0" quotePrefix="0" xfId="0">
      <alignment horizontal="center"/>
      <protection locked="0" hidden="0"/>
    </xf>
    <xf numFmtId="0" fontId="0" fillId="2" borderId="0" pivotButton="0" quotePrefix="0" xfId="0"/>
    <xf numFmtId="0" fontId="2" fillId="2" borderId="0" applyAlignment="1" pivotButton="0" quotePrefix="0" xfId="0">
      <alignment horizontal="center"/>
    </xf>
    <xf numFmtId="0" fontId="8" fillId="0" borderId="0" pivotButton="0" quotePrefix="0" xfId="0"/>
    <xf numFmtId="166" fontId="10" fillId="5" borderId="1" applyAlignment="1" pivotButton="0" quotePrefix="0" xfId="0">
      <alignment horizontal="left" vertical="top"/>
    </xf>
    <xf numFmtId="0" fontId="9" fillId="0" borderId="0" pivotButton="0" quotePrefix="0" xfId="0"/>
    <xf numFmtId="0" fontId="4" fillId="3" borderId="1" applyAlignment="1" applyProtection="1" pivotButton="0" quotePrefix="0" xfId="0">
      <alignment vertical="top" wrapText="1"/>
      <protection locked="0" hidden="0"/>
    </xf>
    <xf numFmtId="9" fontId="2" fillId="2" borderId="0" applyAlignment="1" pivotButton="0" quotePrefix="0" xfId="0">
      <alignment horizontal="right"/>
    </xf>
    <xf numFmtId="0" fontId="0" fillId="4" borderId="1" pivotButton="0" quotePrefix="0" xfId="0"/>
    <xf numFmtId="165" fontId="4" fillId="3" borderId="1" applyProtection="1" pivotButton="0" quotePrefix="0" xfId="0">
      <protection locked="0" hidden="0"/>
    </xf>
    <xf numFmtId="0" fontId="11" fillId="0" borderId="0" pivotButton="0" quotePrefix="0" xfId="0"/>
    <xf numFmtId="168" fontId="9" fillId="0" borderId="0" pivotButton="0" quotePrefix="0" xfId="0"/>
    <xf numFmtId="167" fontId="12" fillId="0" borderId="0" pivotButton="0" quotePrefix="0" xfId="0"/>
    <xf numFmtId="0" fontId="7" fillId="0" borderId="0" pivotButton="0" quotePrefix="0" xfId="0"/>
    <xf numFmtId="0" fontId="13" fillId="2" borderId="0" applyAlignment="1" pivotButton="0" quotePrefix="0" xfId="0">
      <alignment horizontal="center"/>
    </xf>
    <xf numFmtId="0" fontId="15" fillId="2" borderId="0" pivotButton="0" quotePrefix="0" xfId="0"/>
    <xf numFmtId="169" fontId="15" fillId="2" borderId="0" applyAlignment="1" pivotButton="0" quotePrefix="0" xfId="0">
      <alignment horizontal="right"/>
    </xf>
    <xf numFmtId="0" fontId="17" fillId="5" borderId="0" pivotButton="0" quotePrefix="0" xfId="0"/>
    <xf numFmtId="0" fontId="17" fillId="5" borderId="0" applyAlignment="1" pivotButton="0" quotePrefix="0" xfId="0">
      <alignment horizontal="center"/>
    </xf>
    <xf numFmtId="166" fontId="14" fillId="3" borderId="1" applyAlignment="1" pivotButton="0" quotePrefix="0" xfId="0">
      <alignment horizontal="center"/>
    </xf>
    <xf numFmtId="9" fontId="4" fillId="4" borderId="1" applyAlignment="1" pivotButton="0" quotePrefix="0" xfId="0">
      <alignment horizontal="center"/>
    </xf>
    <xf numFmtId="0" fontId="16" fillId="4" borderId="1" pivotButton="0" quotePrefix="0" xfId="0"/>
    <xf numFmtId="0" fontId="18" fillId="4" borderId="1" pivotButton="0" quotePrefix="0" xfId="0"/>
    <xf numFmtId="18" fontId="6" fillId="4" borderId="1" applyAlignment="1" pivotButton="0" quotePrefix="0" xfId="0">
      <alignment horizontal="right"/>
    </xf>
    <xf numFmtId="0" fontId="17" fillId="4" borderId="1" pivotButton="0" quotePrefix="0" xfId="0"/>
    <xf numFmtId="0" fontId="13" fillId="2" borderId="0" pivotButton="0" quotePrefix="0" xfId="0"/>
    <xf numFmtId="0" fontId="3" fillId="4" borderId="1" pivotButton="0" quotePrefix="0" xfId="0"/>
    <xf numFmtId="170" fontId="4" fillId="4" borderId="1" applyAlignment="1" pivotButton="0" quotePrefix="0" xfId="0">
      <alignment horizontal="center"/>
    </xf>
    <xf numFmtId="0" fontId="19" fillId="4" borderId="1" pivotButton="0" quotePrefix="0" xfId="0"/>
    <xf numFmtId="0" fontId="20" fillId="4" borderId="1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9">
    <dxf>
      <font>
        <b val="1"/>
        <color rgb="001E2A30"/>
      </font>
      <fill>
        <patternFill patternType="solid">
          <fgColor rgb="00F2A541"/>
          <bgColor rgb="00F2A541"/>
        </patternFill>
      </fill>
    </dxf>
    <dxf>
      <font>
        <color rgb="00B8C2C7"/>
      </font>
      <fill>
        <patternFill patternType="solid">
          <fgColor rgb="00ECEFF1"/>
          <bgColor rgb="00ECEFF1"/>
        </patternFill>
      </fill>
    </dxf>
    <dxf>
      <font>
        <strike val="1"/>
        <color rgb="006B7A83"/>
      </font>
    </dxf>
    <dxf>
      <font>
        <b val="1"/>
      </font>
      <fill>
        <patternFill patternType="solid">
          <fgColor rgb="00F2A541"/>
          <bgColor rgb="00F2A541"/>
        </patternFill>
      </fill>
    </dxf>
    <dxf>
      <font>
        <b val="1"/>
        <color rgb="0024566B"/>
      </font>
      <fill>
        <patternFill patternType="solid">
          <fgColor rgb="00E8F1F2"/>
          <bgColor rgb="00E8F1F2"/>
        </patternFill>
      </fill>
    </dxf>
    <dxf>
      <font>
        <color rgb="00B8C2C7"/>
      </font>
    </dxf>
    <dxf>
      <fill>
        <patternFill patternType="solid">
          <fgColor rgb="007C9AA8"/>
          <bgColor rgb="007C9AA8"/>
        </patternFill>
      </fill>
    </dxf>
    <dxf>
      <fill>
        <patternFill patternType="solid">
          <fgColor rgb="00F4B6C2"/>
          <bgColor rgb="00F4B6C2"/>
        </patternFill>
      </fill>
    </dxf>
    <dxf>
      <fill>
        <patternFill patternType="solid">
          <fgColor rgb="00F8D0A8"/>
          <bgColor rgb="00F8D0A8"/>
        </patternFill>
      </fill>
    </dxf>
    <dxf>
      <fill>
        <patternFill patternType="solid">
          <fgColor rgb="00FBEBA5"/>
          <bgColor rgb="00FBEBA5"/>
        </patternFill>
      </fill>
    </dxf>
    <dxf>
      <fill>
        <patternFill patternType="solid">
          <fgColor rgb="00CDE8B5"/>
          <bgColor rgb="00CDE8B5"/>
        </patternFill>
      </fill>
    </dxf>
    <dxf>
      <fill>
        <patternFill patternType="solid">
          <fgColor rgb="00BFD9F2"/>
          <bgColor rgb="00BFD9F2"/>
        </patternFill>
      </fill>
    </dxf>
    <dxf>
      <fill>
        <patternFill patternType="solid">
          <fgColor rgb="00D9CCEF"/>
          <bgColor rgb="00D9CCEF"/>
        </patternFill>
      </fill>
    </dxf>
    <dxf>
      <fill>
        <patternFill patternType="solid">
          <fgColor rgb="00DADFE2"/>
          <bgColor rgb="00DADFE2"/>
        </patternFill>
      </fill>
    </dxf>
    <dxf>
      <font>
        <b val="1"/>
        <color rgb="00D1495B"/>
      </font>
    </dxf>
    <dxf>
      <fill>
        <patternFill patternType="solid">
          <fgColor rgb="00BFE3DA"/>
          <bgColor rgb="00BFE3DA"/>
        </patternFill>
      </fill>
    </dxf>
    <dxf>
      <fill>
        <patternFill patternType="solid">
          <fgColor rgb="00F9D5B8"/>
          <bgColor rgb="00F9D5B8"/>
        </patternFill>
      </fill>
    </dxf>
    <dxf>
      <fill>
        <patternFill patternType="solid">
          <fgColor rgb="00D3DCF2"/>
          <bgColor rgb="00D3DCF2"/>
        </patternFill>
      </fill>
    </dxf>
    <dxf>
      <fill>
        <patternFill patternType="solid">
          <fgColor rgb="00F6C9D6"/>
          <bgColor rgb="00F6C9D6"/>
        </patternFill>
      </fill>
    </dxf>
    <dxf>
      <fill>
        <patternFill patternType="solid">
          <fgColor rgb="00E4EDB9"/>
          <bgColor rgb="00E4EDB9"/>
        </patternFill>
      </fill>
    </dxf>
    <dxf>
      <fill>
        <patternFill patternType="solid">
          <fgColor rgb="00CFE6F3"/>
          <bgColor rgb="00CFE6F3"/>
        </patternFill>
      </fill>
    </dxf>
    <dxf>
      <fill>
        <patternFill patternType="solid">
          <fgColor rgb="00F3DFA8"/>
          <bgColor rgb="00F3DFA8"/>
        </patternFill>
      </fill>
    </dxf>
    <dxf>
      <fill>
        <patternFill patternType="solid">
          <fgColor rgb="00DCCFEA"/>
          <bgColor rgb="00DCCFEA"/>
        </patternFill>
      </fill>
    </dxf>
    <dxf>
      <fill>
        <patternFill patternType="solid">
          <fgColor rgb="00C6E6C9"/>
          <bgColor rgb="00C6E6C9"/>
        </patternFill>
      </fill>
    </dxf>
    <dxf>
      <fill>
        <patternFill patternType="solid">
          <fgColor rgb="00F5CFC3"/>
          <bgColor rgb="00F5CFC3"/>
        </patternFill>
      </fill>
    </dxf>
    <dxf>
      <fill>
        <patternFill patternType="solid">
          <fgColor rgb="00C9D8E4"/>
          <bgColor rgb="00C9D8E4"/>
        </patternFill>
      </fill>
    </dxf>
    <dxf>
      <fill>
        <patternFill patternType="solid">
          <fgColor rgb="00E9D9C4"/>
          <bgColor rgb="00E9D9C4"/>
        </patternFill>
      </fill>
    </dxf>
    <dxf>
      <fill>
        <patternFill patternType="solid">
          <fgColor rgb="00CDEBDD"/>
          <bgColor rgb="00CDEBDD"/>
        </patternFill>
      </fill>
    </dxf>
    <dxf>
      <font>
        <color rgb="00B8C2C7"/>
      </font>
      <fill>
        <patternFill patternType="solid">
          <fgColor rgb="00F2F4F5"/>
          <bgColor rgb="00F2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566B"/>
    <outlinePr summaryBelow="1" summaryRight="1"/>
    <pageSetUpPr fitToPage="1"/>
  </sheetPr>
  <dimension ref="B2:B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Monthly · Weekly · Daily Planner</t>
        </is>
      </c>
    </row>
    <row r="3">
      <c r="B3" s="2" t="inlineStr">
        <is>
          <t>Original planner built from the blueprint in BLUEPRINT.md. Reuse it every month.</t>
        </is>
      </c>
    </row>
    <row r="5">
      <c r="B5" s="3" t="inlineStr">
        <is>
          <t>1  Keep one clean master copy.  Each month: File &gt; Make a copy, then work in the copy. Typed events are not tied to dates.</t>
        </is>
      </c>
    </row>
    <row r="6">
      <c r="B6" s="3" t="inlineStr">
        <is>
          <t>2  Open Settings.  Pick the month, year, week start, schedule start time and slot length. All dates and times update by themselves.</t>
        </is>
      </c>
    </row>
    <row r="7">
      <c r="B7" s="3" t="inlineStr">
        <is>
          <t>3  Fill the lists.  Priorities (7), categories (12), habits (21) and the five numeric trackers. They appear in every dropdown on every week.</t>
        </is>
      </c>
    </row>
    <row r="8">
      <c r="B8" s="3" t="inlineStr">
        <is>
          <t>4  Plan the month.  On Month: goals, monthly to-do, important dates; type events in the cells under each date.</t>
        </is>
      </c>
    </row>
    <row r="9">
      <c r="B9" s="3" t="inlineStr">
        <is>
          <t>5  Plan each week (W1 to W6).  Weekly priorities, daily schedule, daily to-do, gratitude, notes. Tick a task and its text is struck through and the bar moves.</t>
        </is>
      </c>
    </row>
    <row r="10">
      <c r="B10" s="3" t="inlineStr">
        <is>
          <t>6  Track.  Tick habits and enter numbers on the far right of each week tab.</t>
        </is>
      </c>
    </row>
    <row r="11">
      <c r="B11" s="3" t="inlineStr"/>
    </row>
    <row r="12">
      <c r="B12" s="4" t="inlineStr">
        <is>
          <t>Good to know</t>
        </is>
      </c>
    </row>
    <row r="13">
      <c r="B13" s="3" t="inlineStr">
        <is>
          <t>•  Grey cells are formulas – don't type over them. White cells are yours. You may merge cells in white areas.</t>
        </is>
      </c>
    </row>
    <row r="14">
      <c r="B14" s="3" t="inlineStr">
        <is>
          <t>•  Days from the neighbouring month appear dimmed in a week tab. Track such a day in only one month's copy.</t>
        </is>
      </c>
    </row>
    <row r="15">
      <c r="B15" s="3" t="inlineStr">
        <is>
          <t>•  Weeks the month doesn't need show a red note and turn grey.</t>
        </is>
      </c>
    </row>
    <row r="16">
      <c r="B16" s="3" t="inlineStr">
        <is>
          <t>•  Google Sheets: run the setup script once (setup_google_sheets.gs) to turn TRUE/FALSE cells into checkboxes and the text bars into coloured bars.</t>
        </is>
      </c>
    </row>
    <row r="17">
      <c r="B17" s="3" t="inlineStr">
        <is>
          <t>•  Changing the month AFTER you typed events leaves your text on the old cells – make a new copy instead.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B7A83"/>
    <outlinePr summaryBelow="1" summaryRight="1"/>
    <pageSetUpPr fitToPage="1"/>
  </sheetPr>
  <dimension ref="B1:F10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5" t="inlineStr">
        <is>
          <t>Settings</t>
        </is>
      </c>
    </row>
    <row r="2">
      <c r="B2" s="6" t="inlineStr">
        <is>
          <t>Planner setup  (white cells are yours; grey cells are automatic)</t>
        </is>
      </c>
      <c r="C2" s="6" t="n"/>
      <c r="D2" s="6" t="n"/>
      <c r="E2" s="6" t="n"/>
      <c r="F2" s="6" t="n"/>
    </row>
    <row r="3">
      <c r="B3" s="7" t="inlineStr">
        <is>
          <t>Month</t>
        </is>
      </c>
      <c r="C3" s="8" t="inlineStr">
        <is>
          <t>October</t>
        </is>
      </c>
      <c r="D3" s="9" t="inlineStr">
        <is>
          <t>pick from the list</t>
        </is>
      </c>
    </row>
    <row r="4">
      <c r="B4" s="7" t="inlineStr">
        <is>
          <t>Year</t>
        </is>
      </c>
      <c r="C4" s="8" t="n">
        <v>2026</v>
      </c>
      <c r="D4" s="9" t="inlineStr">
        <is>
          <t>1901 to 2100</t>
        </is>
      </c>
    </row>
    <row r="5">
      <c r="B5" s="7" t="inlineStr">
        <is>
          <t>Week starts on</t>
        </is>
      </c>
      <c r="C5" s="8" t="inlineStr">
        <is>
          <t>Monday</t>
        </is>
      </c>
    </row>
    <row r="6">
      <c r="B6" s="7" t="inlineStr">
        <is>
          <t>Schedule start time</t>
        </is>
      </c>
      <c r="C6" s="10" t="n">
        <v>0.25</v>
      </c>
      <c r="D6" s="9" t="inlineStr">
        <is>
          <t>type a time, e.g. 6:00 AM</t>
        </is>
      </c>
    </row>
    <row r="7">
      <c r="B7" s="7" t="inlineStr">
        <is>
          <t>Schedule slot (minutes)</t>
        </is>
      </c>
      <c r="C7" s="8" t="n">
        <v>30</v>
      </c>
    </row>
    <row r="8">
      <c r="B8" s="7" t="inlineStr">
        <is>
          <t>Progress bar colour (hex)</t>
        </is>
      </c>
      <c r="C8" s="8" t="inlineStr">
        <is>
          <t>#3BA776</t>
        </is>
      </c>
      <c r="D8" s="11" t="inlineStr">
        <is>
          <t>bars use this colour in Google Sheets (run the setup script)</t>
        </is>
      </c>
    </row>
    <row r="9">
      <c r="B9" s="7" t="inlineStr">
        <is>
          <t>Progress track colour (hex)</t>
        </is>
      </c>
      <c r="C9" s="8" t="inlineStr">
        <is>
          <t>#E3E9EC</t>
        </is>
      </c>
    </row>
    <row r="11">
      <c r="B11" s="6" t="inlineStr">
        <is>
          <t>Priorities (7 slots – colours belong to the slot)</t>
        </is>
      </c>
      <c r="C11" s="6" t="n"/>
      <c r="D11" s="6" t="n"/>
      <c r="E11" s="6" t="n"/>
      <c r="F11" s="6" t="n"/>
    </row>
    <row r="12">
      <c r="B12" s="8" t="inlineStr">
        <is>
          <t>Urgent</t>
        </is>
      </c>
    </row>
    <row r="13">
      <c r="B13" s="8" t="inlineStr">
        <is>
          <t>High</t>
        </is>
      </c>
    </row>
    <row r="14">
      <c r="B14" s="8" t="inlineStr">
        <is>
          <t>Normal</t>
        </is>
      </c>
    </row>
    <row r="15">
      <c r="B15" s="8" t="inlineStr">
        <is>
          <t>Low</t>
        </is>
      </c>
    </row>
    <row r="16">
      <c r="B16" s="8" t="inlineStr">
        <is>
          <t>Waiting</t>
        </is>
      </c>
    </row>
    <row r="17">
      <c r="B17" s="8" t="inlineStr">
        <is>
          <t>Someday</t>
        </is>
      </c>
    </row>
    <row r="18">
      <c r="B18" s="8" t="inlineStr">
        <is>
          <t>Delegated</t>
        </is>
      </c>
    </row>
    <row r="21">
      <c r="B21" s="6" t="inlineStr">
        <is>
          <t>Categories (12 slots – fill top-down, no gaps)</t>
        </is>
      </c>
      <c r="C21" s="6" t="n"/>
      <c r="D21" s="6" t="n"/>
      <c r="E21" s="6" t="n"/>
      <c r="F21" s="6" t="n"/>
    </row>
    <row r="22">
      <c r="B22" s="8" t="inlineStr">
        <is>
          <t>Work</t>
        </is>
      </c>
    </row>
    <row r="23">
      <c r="B23" s="8" t="inlineStr">
        <is>
          <t>Home</t>
        </is>
      </c>
    </row>
    <row r="24">
      <c r="B24" s="8" t="inlineStr">
        <is>
          <t>Health</t>
        </is>
      </c>
    </row>
    <row r="25">
      <c r="B25" s="8" t="inlineStr">
        <is>
          <t>Learning</t>
        </is>
      </c>
    </row>
    <row r="26">
      <c r="B26" s="8" t="inlineStr">
        <is>
          <t>Finance</t>
        </is>
      </c>
    </row>
    <row r="27">
      <c r="B27" s="8" t="inlineStr">
        <is>
          <t>Social</t>
        </is>
      </c>
    </row>
    <row r="28">
      <c r="B28" s="8" t="inlineStr">
        <is>
          <t>Errands</t>
        </is>
      </c>
    </row>
    <row r="29">
      <c r="B29" s="8" t="inlineStr">
        <is>
          <t>Rest</t>
        </is>
      </c>
    </row>
    <row r="30">
      <c r="B30" s="8" t="n"/>
    </row>
    <row r="31">
      <c r="B31" s="8" t="n"/>
    </row>
    <row r="32">
      <c r="B32" s="8" t="n"/>
    </row>
    <row r="33">
      <c r="B33" s="8" t="n"/>
    </row>
    <row r="36">
      <c r="B36" s="6" t="inlineStr">
        <is>
          <t>Habits (21 slots – shown on every weekly tab)</t>
        </is>
      </c>
      <c r="C36" s="6" t="n"/>
      <c r="D36" s="6" t="n"/>
      <c r="E36" s="6" t="n"/>
      <c r="F36" s="6" t="n"/>
    </row>
    <row r="37">
      <c r="B37" s="8" t="inlineStr">
        <is>
          <t>Drink water</t>
        </is>
      </c>
    </row>
    <row r="38">
      <c r="B38" s="8" t="inlineStr">
        <is>
          <t>Move / exercise</t>
        </is>
      </c>
    </row>
    <row r="39">
      <c r="B39" s="8" t="inlineStr">
        <is>
          <t>Read</t>
        </is>
      </c>
    </row>
    <row r="40">
      <c r="B40" s="8" t="inlineStr">
        <is>
          <t>Plan tomorrow</t>
        </is>
      </c>
    </row>
    <row r="41">
      <c r="B41" s="8" t="inlineStr">
        <is>
          <t>Sleep on time</t>
        </is>
      </c>
    </row>
    <row r="42">
      <c r="B42" s="8" t="n"/>
    </row>
    <row r="43">
      <c r="B43" s="8" t="n"/>
    </row>
    <row r="44">
      <c r="B44" s="8" t="n"/>
    </row>
    <row r="45">
      <c r="B45" s="8" t="n"/>
    </row>
    <row r="46">
      <c r="B46" s="8" t="n"/>
    </row>
    <row r="47">
      <c r="B47" s="8" t="n"/>
    </row>
    <row r="48">
      <c r="B48" s="8" t="n"/>
    </row>
    <row r="49">
      <c r="B49" s="8" t="n"/>
    </row>
    <row r="50">
      <c r="B50" s="8" t="n"/>
    </row>
    <row r="51">
      <c r="B51" s="8" t="n"/>
    </row>
    <row r="52">
      <c r="B52" s="8" t="n"/>
    </row>
    <row r="53">
      <c r="B53" s="8" t="n"/>
    </row>
    <row r="54">
      <c r="B54" s="8" t="n"/>
    </row>
    <row r="55">
      <c r="B55" s="8" t="n"/>
    </row>
    <row r="56">
      <c r="B56" s="8" t="n"/>
    </row>
    <row r="57">
      <c r="B57" s="8" t="n"/>
    </row>
    <row r="60">
      <c r="B60" s="6" t="inlineStr">
        <is>
          <t>Label</t>
        </is>
      </c>
      <c r="C60" s="6" t="inlineStr">
        <is>
          <t>Unit</t>
        </is>
      </c>
      <c r="D60" s="6" t="inlineStr">
        <is>
          <t>Min</t>
        </is>
      </c>
      <c r="E60" s="6" t="inlineStr">
        <is>
          <t>Max / target</t>
        </is>
      </c>
      <c r="F60" s="6" t="n"/>
    </row>
    <row r="61">
      <c r="B61" s="8" t="inlineStr">
        <is>
          <t>Water</t>
        </is>
      </c>
      <c r="C61" s="8" t="inlineStr">
        <is>
          <t>glasses</t>
        </is>
      </c>
      <c r="D61" s="8" t="n">
        <v>0</v>
      </c>
      <c r="E61" s="8" t="n">
        <v>8</v>
      </c>
    </row>
    <row r="62">
      <c r="B62" s="8" t="inlineStr">
        <is>
          <t>Mood</t>
        </is>
      </c>
      <c r="C62" s="8" t="inlineStr">
        <is>
          <t>1-5</t>
        </is>
      </c>
      <c r="D62" s="8" t="n">
        <v>1</v>
      </c>
      <c r="E62" s="8" t="n">
        <v>5</v>
      </c>
    </row>
    <row r="63">
      <c r="B63" s="8" t="inlineStr">
        <is>
          <t>Sleep</t>
        </is>
      </c>
      <c r="C63" s="8" t="inlineStr">
        <is>
          <t>hours</t>
        </is>
      </c>
      <c r="D63" s="8" t="n">
        <v>0</v>
      </c>
      <c r="E63" s="8" t="n">
        <v>9</v>
      </c>
    </row>
    <row r="64">
      <c r="B64" s="8" t="inlineStr">
        <is>
          <t>Pages read</t>
        </is>
      </c>
      <c r="C64" s="8" t="inlineStr">
        <is>
          <t>pages</t>
        </is>
      </c>
      <c r="D64" s="8" t="n">
        <v>0</v>
      </c>
      <c r="E64" s="8" t="n">
        <v>50</v>
      </c>
    </row>
    <row r="65">
      <c r="B65" s="8" t="inlineStr">
        <is>
          <t>Exercise</t>
        </is>
      </c>
      <c r="C65" s="8" t="inlineStr">
        <is>
          <t>minutes</t>
        </is>
      </c>
      <c r="D65" s="8" t="n">
        <v>0</v>
      </c>
      <c r="E65" s="8" t="n">
        <v>60</v>
      </c>
    </row>
    <row r="67">
      <c r="B67" s="6" t="inlineStr">
        <is>
          <t>Weekday translations  (leave blank to use English)</t>
        </is>
      </c>
      <c r="C67" s="6" t="n"/>
      <c r="D67" s="6" t="n"/>
      <c r="E67" s="6" t="n"/>
      <c r="F67" s="6" t="n"/>
    </row>
    <row r="68">
      <c r="B68" s="12" t="inlineStr">
        <is>
          <t>English (fixed)</t>
        </is>
      </c>
      <c r="C68" s="12" t="inlineStr">
        <is>
          <t>Your word</t>
        </is>
      </c>
    </row>
    <row r="69">
      <c r="B69" s="13" t="inlineStr">
        <is>
          <t>Sunday</t>
        </is>
      </c>
      <c r="C69" s="8" t="n"/>
    </row>
    <row r="70">
      <c r="B70" s="13" t="inlineStr">
        <is>
          <t>Monday</t>
        </is>
      </c>
      <c r="C70" s="8" t="n"/>
    </row>
    <row r="71">
      <c r="B71" s="13" t="inlineStr">
        <is>
          <t>Tuesday</t>
        </is>
      </c>
      <c r="C71" s="8" t="n"/>
    </row>
    <row r="72">
      <c r="B72" s="13" t="inlineStr">
        <is>
          <t>Wednesday</t>
        </is>
      </c>
      <c r="C72" s="8" t="n"/>
    </row>
    <row r="73">
      <c r="B73" s="13" t="inlineStr">
        <is>
          <t>Thursday</t>
        </is>
      </c>
      <c r="C73" s="8" t="n"/>
    </row>
    <row r="74">
      <c r="B74" s="13" t="inlineStr">
        <is>
          <t>Friday</t>
        </is>
      </c>
      <c r="C74" s="8" t="n"/>
    </row>
    <row r="75">
      <c r="B75" s="13" t="inlineStr">
        <is>
          <t>Saturday</t>
        </is>
      </c>
      <c r="C75" s="8" t="n"/>
    </row>
    <row r="77">
      <c r="B77" s="6" t="inlineStr">
        <is>
          <t>Month translations  (display only; leave blank for English)</t>
        </is>
      </c>
      <c r="C77" s="6" t="n"/>
      <c r="D77" s="6" t="n"/>
      <c r="E77" s="6" t="n"/>
      <c r="F77" s="6" t="n"/>
    </row>
    <row r="78">
      <c r="B78" s="12" t="inlineStr">
        <is>
          <t>English (fixed)</t>
        </is>
      </c>
      <c r="C78" s="12" t="inlineStr">
        <is>
          <t>Your word</t>
        </is>
      </c>
    </row>
    <row r="79">
      <c r="B79" s="13" t="inlineStr">
        <is>
          <t>January</t>
        </is>
      </c>
      <c r="C79" s="8" t="n"/>
    </row>
    <row r="80">
      <c r="B80" s="13" t="inlineStr">
        <is>
          <t>February</t>
        </is>
      </c>
      <c r="C80" s="8" t="n"/>
    </row>
    <row r="81">
      <c r="B81" s="13" t="inlineStr">
        <is>
          <t>March</t>
        </is>
      </c>
      <c r="C81" s="8" t="n"/>
    </row>
    <row r="82">
      <c r="B82" s="13" t="inlineStr">
        <is>
          <t>April</t>
        </is>
      </c>
      <c r="C82" s="8" t="n"/>
    </row>
    <row r="83">
      <c r="B83" s="13" t="inlineStr">
        <is>
          <t>May</t>
        </is>
      </c>
      <c r="C83" s="8" t="n"/>
    </row>
    <row r="84">
      <c r="B84" s="13" t="inlineStr">
        <is>
          <t>June</t>
        </is>
      </c>
      <c r="C84" s="8" t="n"/>
    </row>
    <row r="85">
      <c r="B85" s="13" t="inlineStr">
        <is>
          <t>July</t>
        </is>
      </c>
      <c r="C85" s="8" t="n"/>
    </row>
    <row r="86">
      <c r="B86" s="13" t="inlineStr">
        <is>
          <t>August</t>
        </is>
      </c>
      <c r="C86" s="8" t="n"/>
    </row>
    <row r="87">
      <c r="B87" s="13" t="inlineStr">
        <is>
          <t>September</t>
        </is>
      </c>
      <c r="C87" s="8" t="n"/>
    </row>
    <row r="88">
      <c r="B88" s="13" t="inlineStr">
        <is>
          <t>October</t>
        </is>
      </c>
      <c r="C88" s="8" t="n"/>
    </row>
    <row r="89">
      <c r="B89" s="13" t="inlineStr">
        <is>
          <t>November</t>
        </is>
      </c>
      <c r="C89" s="8" t="n"/>
    </row>
    <row r="90">
      <c r="B90" s="13" t="inlineStr">
        <is>
          <t>December</t>
        </is>
      </c>
      <c r="C90" s="8" t="n"/>
    </row>
    <row r="92">
      <c r="B92" s="6" t="inlineStr">
        <is>
          <t>Section labels  (type a replacement to rename a heading everywhere)</t>
        </is>
      </c>
      <c r="C92" s="6" t="n"/>
      <c r="D92" s="6" t="n"/>
      <c r="E92" s="6" t="n"/>
      <c r="F92" s="6" t="n"/>
    </row>
    <row r="93">
      <c r="B93" s="12" t="inlineStr">
        <is>
          <t>Default (fixed)</t>
        </is>
      </c>
      <c r="C93" s="12" t="inlineStr">
        <is>
          <t>Your label</t>
        </is>
      </c>
    </row>
    <row r="94">
      <c r="B94" s="13" t="inlineStr">
        <is>
          <t>Top goals</t>
        </is>
      </c>
      <c r="C94" s="8" t="n"/>
    </row>
    <row r="95">
      <c r="B95" s="13" t="inlineStr">
        <is>
          <t>Monthly to-do</t>
        </is>
      </c>
      <c r="C95" s="8" t="n"/>
    </row>
    <row r="96">
      <c r="B96" s="13" t="inlineStr">
        <is>
          <t>Important dates</t>
        </is>
      </c>
      <c r="C96" s="8" t="n"/>
    </row>
    <row r="97">
      <c r="B97" s="13" t="inlineStr">
        <is>
          <t>Notes</t>
        </is>
      </c>
      <c r="C97" s="8" t="n"/>
    </row>
    <row r="98">
      <c r="B98" s="13" t="inlineStr">
        <is>
          <t>Schedule</t>
        </is>
      </c>
      <c r="C98" s="8" t="n"/>
    </row>
    <row r="99">
      <c r="B99" s="13" t="inlineStr">
        <is>
          <t>Gratitude</t>
        </is>
      </c>
      <c r="C99" s="8" t="n"/>
    </row>
    <row r="100">
      <c r="B100" s="13" t="inlineStr">
        <is>
          <t>Habits</t>
        </is>
      </c>
      <c r="C100" s="8" t="n"/>
    </row>
    <row r="101">
      <c r="B101" s="13" t="inlineStr">
        <is>
          <t>Numeric trackers</t>
        </is>
      </c>
      <c r="C101" s="8" t="n"/>
    </row>
    <row r="102">
      <c r="B102" s="13" t="inlineStr">
        <is>
          <t>Weekly priorities</t>
        </is>
      </c>
      <c r="C102" s="8" t="n"/>
    </row>
    <row r="103">
      <c r="B103" s="13" t="inlineStr">
        <is>
          <t>Secondary tasks</t>
        </is>
      </c>
      <c r="C103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dataValidations count="6">
    <dataValidation sqref="C3" showDropDown="0" showInputMessage="0" showErrorMessage="1" allowBlank="0" errorTitle="Month" error="Choose a month from the list." type="list">
      <formula1>=Lists!$A$1:$A$12</formula1>
    </dataValidation>
    <dataValidation sqref="C4" showDropDown="0" showInputMessage="0" showErrorMessage="1" allowBlank="0" errorTitle="Year" error="Enter a year from 1901 to 2100." type="whole" operator="between">
      <formula1>1901</formula1>
      <formula2>2100</formula2>
    </dataValidation>
    <dataValidation sqref="C5" showDropDown="0" showInputMessage="0" showErrorMessage="1" allowBlank="0" type="list">
      <formula1>"Sunday,Monday"</formula1>
    </dataValidation>
    <dataValidation sqref="C6" showDropDown="0" showInputMessage="0" showErrorMessage="1" allowBlank="0" errorTitle="Start time" error="Enter a time of day, e.g. 6:00 AM." type="decimal" operator="between">
      <formula1>0</formula1>
      <formula2>0.999988</formula2>
    </dataValidation>
    <dataValidation sqref="C7" showDropDown="0" showInputMessage="0" showErrorMessage="1" allowBlank="0" type="list">
      <formula1>"15,30,60"</formula1>
    </dataValidation>
    <dataValidation sqref="C8 C9" showDropDown="0" showInputMessage="0" showErrorMessage="1" allowBlank="0" errorTitle="Colour" error="Use a hex colour like #3BA776." type="custom">
      <formula1>=AND(LEN(C8)=7,LEFT(C8,1)="#")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A541"/>
    <outlinePr summaryBelow="1" summaryRight="1"/>
    <pageSetUpPr fitToPage="1"/>
  </sheetPr>
  <dimension ref="B2:N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4" customWidth="1" min="3" max="3"/>
    <col width="36" customWidth="1" min="4" max="4"/>
    <col width="9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" customWidth="1" min="13" max="13"/>
    <col hidden="1" width="6" customWidth="1" min="14" max="14"/>
  </cols>
  <sheetData>
    <row r="2">
      <c r="B2" s="5">
        <f>Calc!M3</f>
        <v/>
      </c>
      <c r="F2" s="9" t="inlineStr">
        <is>
          <t>Type events directly in the cells under each date. Merge, colour or add emoji as you like.</t>
        </is>
      </c>
    </row>
    <row r="3">
      <c r="B3" s="6">
        <f>IF(Settings!$C$94="",Settings!$B$94,Settings!$C$94)</f>
        <v/>
      </c>
      <c r="C3" s="6" t="n"/>
      <c r="D3" s="6" t="n"/>
    </row>
    <row r="4">
      <c r="B4" s="14" t="b">
        <v>0</v>
      </c>
      <c r="C4" s="8" t="n"/>
      <c r="D4" s="8" t="n"/>
      <c r="E4" s="15" t="n"/>
      <c r="F4" s="16">
        <f>Calc!D1</f>
        <v/>
      </c>
      <c r="G4" s="16">
        <f>Calc!E1</f>
        <v/>
      </c>
      <c r="H4" s="16">
        <f>Calc!F1</f>
        <v/>
      </c>
      <c r="I4" s="16">
        <f>Calc!G1</f>
        <v/>
      </c>
      <c r="J4" s="16">
        <f>Calc!H1</f>
        <v/>
      </c>
      <c r="K4" s="16">
        <f>Calc!I1</f>
        <v/>
      </c>
      <c r="L4" s="16">
        <f>Calc!J1</f>
        <v/>
      </c>
    </row>
    <row r="5" ht="20" customHeight="1">
      <c r="B5" s="14" t="b">
        <v>0</v>
      </c>
      <c r="C5" s="8" t="n"/>
      <c r="D5" s="8" t="n"/>
      <c r="E5" s="17">
        <f>HYPERLINK("#'W1'!A1","Week 1 ▶")</f>
        <v/>
      </c>
      <c r="F5" s="18">
        <f>IF(MONTH(Calc!D3)=Calc!$B$1,Calc!D3,"")</f>
        <v/>
      </c>
      <c r="G5" s="18">
        <f>IF(MONTH(Calc!E3)=Calc!$B$1,Calc!E3,"")</f>
        <v/>
      </c>
      <c r="H5" s="18">
        <f>IF(MONTH(Calc!F3)=Calc!$B$1,Calc!F3,"")</f>
        <v/>
      </c>
      <c r="I5" s="18">
        <f>IF(MONTH(Calc!G3)=Calc!$B$1,Calc!G3,"")</f>
        <v/>
      </c>
      <c r="J5" s="18">
        <f>IF(MONTH(Calc!H3)=Calc!$B$1,Calc!H3,"")</f>
        <v/>
      </c>
      <c r="K5" s="18">
        <f>IF(MONTH(Calc!I3)=Calc!$B$1,Calc!I3,"")</f>
        <v/>
      </c>
      <c r="L5" s="18">
        <f>IF(MONTH(Calc!J3)=Calc!$B$1,Calc!J3,"")</f>
        <v/>
      </c>
      <c r="N5" s="19">
        <f>INDEX(Calc!$E$10:$E$15,1)</f>
        <v/>
      </c>
    </row>
    <row r="6" ht="26" customHeight="1">
      <c r="B6" s="14" t="b">
        <v>0</v>
      </c>
      <c r="C6" s="8" t="n"/>
      <c r="D6" s="8" t="n"/>
      <c r="F6" s="20" t="n"/>
      <c r="G6" s="20" t="n"/>
      <c r="H6" s="20" t="n"/>
      <c r="I6" s="20" t="n"/>
      <c r="J6" s="20" t="n"/>
      <c r="K6" s="20" t="n"/>
      <c r="L6" s="20" t="n"/>
    </row>
    <row r="7" ht="26" customHeight="1">
      <c r="B7" s="14" t="b">
        <v>0</v>
      </c>
      <c r="C7" s="8" t="n"/>
      <c r="D7" s="8" t="n"/>
      <c r="F7" s="20" t="n"/>
      <c r="G7" s="20" t="n"/>
      <c r="H7" s="20" t="n"/>
      <c r="I7" s="20" t="n"/>
      <c r="J7" s="20" t="n"/>
      <c r="K7" s="20" t="n"/>
      <c r="L7" s="20" t="n"/>
    </row>
    <row r="8" ht="26" customHeight="1">
      <c r="B8" s="14" t="b">
        <v>0</v>
      </c>
      <c r="C8" s="8" t="n"/>
      <c r="D8" s="8" t="n"/>
      <c r="F8" s="20" t="n"/>
      <c r="G8" s="20" t="n"/>
      <c r="H8" s="20" t="n"/>
      <c r="I8" s="20" t="n"/>
      <c r="J8" s="20" t="n"/>
      <c r="K8" s="20" t="n"/>
      <c r="L8" s="20" t="n"/>
    </row>
    <row r="9" ht="20" customHeight="1">
      <c r="E9" s="17">
        <f>HYPERLINK("#'W2'!A1","Week 2 ▶")</f>
        <v/>
      </c>
      <c r="F9" s="18">
        <f>IF(MONTH(Calc!D4)=Calc!$B$1,Calc!D4,"")</f>
        <v/>
      </c>
      <c r="G9" s="18">
        <f>IF(MONTH(Calc!E4)=Calc!$B$1,Calc!E4,"")</f>
        <v/>
      </c>
      <c r="H9" s="18">
        <f>IF(MONTH(Calc!F4)=Calc!$B$1,Calc!F4,"")</f>
        <v/>
      </c>
      <c r="I9" s="18">
        <f>IF(MONTH(Calc!G4)=Calc!$B$1,Calc!G4,"")</f>
        <v/>
      </c>
      <c r="J9" s="18">
        <f>IF(MONTH(Calc!H4)=Calc!$B$1,Calc!H4,"")</f>
        <v/>
      </c>
      <c r="K9" s="18">
        <f>IF(MONTH(Calc!I4)=Calc!$B$1,Calc!I4,"")</f>
        <v/>
      </c>
      <c r="L9" s="18">
        <f>IF(MONTH(Calc!J4)=Calc!$B$1,Calc!J4,"")</f>
        <v/>
      </c>
      <c r="N9" s="19">
        <f>INDEX(Calc!$E$10:$E$15,2)</f>
        <v/>
      </c>
    </row>
    <row r="10" ht="26" customHeight="1">
      <c r="B10" s="6">
        <f>IF(Settings!$C$95="",Settings!$B$95,Settings!$C$95)</f>
        <v/>
      </c>
      <c r="C10" s="6" t="n"/>
      <c r="D10" s="21">
        <f>IFERROR(SUMPRODUCT((D11:D25&lt;&gt;"")*(B11:B25=TRUE))/SUMPRODUCT((D11:D25&lt;&gt;"")*1),0)</f>
        <v/>
      </c>
      <c r="F10" s="20" t="n"/>
      <c r="G10" s="20" t="n"/>
      <c r="H10" s="20" t="n"/>
      <c r="I10" s="20" t="n"/>
      <c r="J10" s="20" t="n"/>
      <c r="K10" s="20" t="n"/>
      <c r="L10" s="20" t="n"/>
    </row>
    <row r="11" ht="26" customHeight="1">
      <c r="B11" s="14" t="b">
        <v>0</v>
      </c>
      <c r="C11" s="8" t="n"/>
      <c r="D11" s="8" t="n"/>
      <c r="F11" s="20" t="n"/>
      <c r="G11" s="20" t="n"/>
      <c r="H11" s="20" t="n"/>
      <c r="I11" s="20" t="n"/>
      <c r="J11" s="20" t="n"/>
      <c r="K11" s="20" t="n"/>
      <c r="L11" s="20" t="n"/>
    </row>
    <row r="12" ht="26" customHeight="1">
      <c r="B12" s="14" t="b">
        <v>0</v>
      </c>
      <c r="C12" s="8" t="n"/>
      <c r="D12" s="8" t="n"/>
      <c r="F12" s="20" t="n"/>
      <c r="G12" s="20" t="n"/>
      <c r="H12" s="20" t="n"/>
      <c r="I12" s="20" t="n"/>
      <c r="J12" s="20" t="n"/>
      <c r="K12" s="20" t="n"/>
      <c r="L12" s="20" t="n"/>
    </row>
    <row r="13" ht="20" customHeight="1">
      <c r="B13" s="14" t="b">
        <v>0</v>
      </c>
      <c r="C13" s="8" t="n"/>
      <c r="D13" s="8" t="n"/>
      <c r="E13" s="17">
        <f>HYPERLINK("#'W3'!A1","Week 3 ▶")</f>
        <v/>
      </c>
      <c r="F13" s="18">
        <f>IF(MONTH(Calc!D5)=Calc!$B$1,Calc!D5,"")</f>
        <v/>
      </c>
      <c r="G13" s="18">
        <f>IF(MONTH(Calc!E5)=Calc!$B$1,Calc!E5,"")</f>
        <v/>
      </c>
      <c r="H13" s="18">
        <f>IF(MONTH(Calc!F5)=Calc!$B$1,Calc!F5,"")</f>
        <v/>
      </c>
      <c r="I13" s="18">
        <f>IF(MONTH(Calc!G5)=Calc!$B$1,Calc!G5,"")</f>
        <v/>
      </c>
      <c r="J13" s="18">
        <f>IF(MONTH(Calc!H5)=Calc!$B$1,Calc!H5,"")</f>
        <v/>
      </c>
      <c r="K13" s="18">
        <f>IF(MONTH(Calc!I5)=Calc!$B$1,Calc!I5,"")</f>
        <v/>
      </c>
      <c r="L13" s="18">
        <f>IF(MONTH(Calc!J5)=Calc!$B$1,Calc!J5,"")</f>
        <v/>
      </c>
      <c r="N13" s="19">
        <f>INDEX(Calc!$E$10:$E$15,3)</f>
        <v/>
      </c>
    </row>
    <row r="14" ht="26" customHeight="1">
      <c r="B14" s="14" t="b">
        <v>0</v>
      </c>
      <c r="C14" s="8" t="n"/>
      <c r="D14" s="8" t="n"/>
      <c r="F14" s="20" t="n"/>
      <c r="G14" s="20" t="n"/>
      <c r="H14" s="20" t="n"/>
      <c r="I14" s="20" t="n"/>
      <c r="J14" s="20" t="n"/>
      <c r="K14" s="20" t="n"/>
      <c r="L14" s="20" t="n"/>
    </row>
    <row r="15" ht="26" customHeight="1">
      <c r="B15" s="14" t="b">
        <v>0</v>
      </c>
      <c r="C15" s="8" t="n"/>
      <c r="D15" s="8" t="n"/>
      <c r="F15" s="20" t="n"/>
      <c r="G15" s="20" t="n"/>
      <c r="H15" s="20" t="n"/>
      <c r="I15" s="20" t="n"/>
      <c r="J15" s="20" t="n"/>
      <c r="K15" s="20" t="n"/>
      <c r="L15" s="20" t="n"/>
    </row>
    <row r="16" ht="26" customHeight="1">
      <c r="B16" s="14" t="b">
        <v>0</v>
      </c>
      <c r="C16" s="8" t="n"/>
      <c r="D16" s="8" t="n"/>
      <c r="F16" s="20" t="n"/>
      <c r="G16" s="20" t="n"/>
      <c r="H16" s="20" t="n"/>
      <c r="I16" s="20" t="n"/>
      <c r="J16" s="20" t="n"/>
      <c r="K16" s="20" t="n"/>
      <c r="L16" s="20" t="n"/>
    </row>
    <row r="17" ht="20" customHeight="1">
      <c r="B17" s="14" t="b">
        <v>0</v>
      </c>
      <c r="C17" s="8" t="n"/>
      <c r="D17" s="8" t="n"/>
      <c r="E17" s="17">
        <f>HYPERLINK("#'W4'!A1","Week 4 ▶")</f>
        <v/>
      </c>
      <c r="F17" s="18">
        <f>IF(MONTH(Calc!D6)=Calc!$B$1,Calc!D6,"")</f>
        <v/>
      </c>
      <c r="G17" s="18">
        <f>IF(MONTH(Calc!E6)=Calc!$B$1,Calc!E6,"")</f>
        <v/>
      </c>
      <c r="H17" s="18">
        <f>IF(MONTH(Calc!F6)=Calc!$B$1,Calc!F6,"")</f>
        <v/>
      </c>
      <c r="I17" s="18">
        <f>IF(MONTH(Calc!G6)=Calc!$B$1,Calc!G6,"")</f>
        <v/>
      </c>
      <c r="J17" s="18">
        <f>IF(MONTH(Calc!H6)=Calc!$B$1,Calc!H6,"")</f>
        <v/>
      </c>
      <c r="K17" s="18">
        <f>IF(MONTH(Calc!I6)=Calc!$B$1,Calc!I6,"")</f>
        <v/>
      </c>
      <c r="L17" s="18">
        <f>IF(MONTH(Calc!J6)=Calc!$B$1,Calc!J6,"")</f>
        <v/>
      </c>
      <c r="N17" s="19">
        <f>INDEX(Calc!$E$10:$E$15,4)</f>
        <v/>
      </c>
    </row>
    <row r="18" ht="26" customHeight="1">
      <c r="B18" s="14" t="b">
        <v>0</v>
      </c>
      <c r="C18" s="8" t="n"/>
      <c r="D18" s="8" t="n"/>
      <c r="F18" s="20" t="n"/>
      <c r="G18" s="20" t="n"/>
      <c r="H18" s="20" t="n"/>
      <c r="I18" s="20" t="n"/>
      <c r="J18" s="20" t="n"/>
      <c r="K18" s="20" t="n"/>
      <c r="L18" s="20" t="n"/>
    </row>
    <row r="19" ht="26" customHeight="1">
      <c r="B19" s="14" t="b">
        <v>0</v>
      </c>
      <c r="C19" s="8" t="n"/>
      <c r="D19" s="8" t="n"/>
      <c r="F19" s="20" t="n"/>
      <c r="G19" s="20" t="n"/>
      <c r="H19" s="20" t="n"/>
      <c r="I19" s="20" t="n"/>
      <c r="J19" s="20" t="n"/>
      <c r="K19" s="20" t="n"/>
      <c r="L19" s="20" t="n"/>
    </row>
    <row r="20" ht="26" customHeight="1">
      <c r="B20" s="14" t="b">
        <v>0</v>
      </c>
      <c r="C20" s="8" t="n"/>
      <c r="D20" s="8" t="n"/>
      <c r="F20" s="20" t="n"/>
      <c r="G20" s="20" t="n"/>
      <c r="H20" s="20" t="n"/>
      <c r="I20" s="20" t="n"/>
      <c r="J20" s="20" t="n"/>
      <c r="K20" s="20" t="n"/>
      <c r="L20" s="20" t="n"/>
    </row>
    <row r="21" ht="20" customHeight="1">
      <c r="B21" s="14" t="b">
        <v>0</v>
      </c>
      <c r="C21" s="8" t="n"/>
      <c r="D21" s="8" t="n"/>
      <c r="E21" s="17">
        <f>HYPERLINK("#'W5'!A1","Week 5 ▶")</f>
        <v/>
      </c>
      <c r="F21" s="18">
        <f>IF(MONTH(Calc!D7)=Calc!$B$1,Calc!D7,"")</f>
        <v/>
      </c>
      <c r="G21" s="18">
        <f>IF(MONTH(Calc!E7)=Calc!$B$1,Calc!E7,"")</f>
        <v/>
      </c>
      <c r="H21" s="18">
        <f>IF(MONTH(Calc!F7)=Calc!$B$1,Calc!F7,"")</f>
        <v/>
      </c>
      <c r="I21" s="18">
        <f>IF(MONTH(Calc!G7)=Calc!$B$1,Calc!G7,"")</f>
        <v/>
      </c>
      <c r="J21" s="18">
        <f>IF(MONTH(Calc!H7)=Calc!$B$1,Calc!H7,"")</f>
        <v/>
      </c>
      <c r="K21" s="18">
        <f>IF(MONTH(Calc!I7)=Calc!$B$1,Calc!I7,"")</f>
        <v/>
      </c>
      <c r="L21" s="18">
        <f>IF(MONTH(Calc!J7)=Calc!$B$1,Calc!J7,"")</f>
        <v/>
      </c>
      <c r="N21" s="19">
        <f>INDEX(Calc!$E$10:$E$15,5)</f>
        <v/>
      </c>
    </row>
    <row r="22" ht="26" customHeight="1">
      <c r="B22" s="14" t="b">
        <v>0</v>
      </c>
      <c r="C22" s="8" t="n"/>
      <c r="D22" s="8" t="n"/>
      <c r="F22" s="20" t="n"/>
      <c r="G22" s="20" t="n"/>
      <c r="H22" s="20" t="n"/>
      <c r="I22" s="20" t="n"/>
      <c r="J22" s="20" t="n"/>
      <c r="K22" s="20" t="n"/>
      <c r="L22" s="20" t="n"/>
    </row>
    <row r="23" ht="26" customHeight="1">
      <c r="B23" s="14" t="b">
        <v>0</v>
      </c>
      <c r="C23" s="8" t="n"/>
      <c r="D23" s="8" t="n"/>
      <c r="F23" s="20" t="n"/>
      <c r="G23" s="20" t="n"/>
      <c r="H23" s="20" t="n"/>
      <c r="I23" s="20" t="n"/>
      <c r="J23" s="20" t="n"/>
      <c r="K23" s="20" t="n"/>
      <c r="L23" s="20" t="n"/>
    </row>
    <row r="24" ht="26" customHeight="1">
      <c r="B24" s="14" t="b">
        <v>0</v>
      </c>
      <c r="C24" s="8" t="n"/>
      <c r="D24" s="8" t="n"/>
      <c r="F24" s="20" t="n"/>
      <c r="G24" s="20" t="n"/>
      <c r="H24" s="20" t="n"/>
      <c r="I24" s="20" t="n"/>
      <c r="J24" s="20" t="n"/>
      <c r="K24" s="20" t="n"/>
      <c r="L24" s="20" t="n"/>
    </row>
    <row r="25" ht="20" customHeight="1">
      <c r="B25" s="14" t="b">
        <v>0</v>
      </c>
      <c r="C25" s="8" t="n"/>
      <c r="D25" s="8" t="n"/>
      <c r="E25" s="17">
        <f>HYPERLINK("#'W6'!A1","Week 6 ▶")</f>
        <v/>
      </c>
      <c r="F25" s="18">
        <f>IF(MONTH(Calc!D8)=Calc!$B$1,Calc!D8,"")</f>
        <v/>
      </c>
      <c r="G25" s="18">
        <f>IF(MONTH(Calc!E8)=Calc!$B$1,Calc!E8,"")</f>
        <v/>
      </c>
      <c r="H25" s="18">
        <f>IF(MONTH(Calc!F8)=Calc!$B$1,Calc!F8,"")</f>
        <v/>
      </c>
      <c r="I25" s="18">
        <f>IF(MONTH(Calc!G8)=Calc!$B$1,Calc!G8,"")</f>
        <v/>
      </c>
      <c r="J25" s="18">
        <f>IF(MONTH(Calc!H8)=Calc!$B$1,Calc!H8,"")</f>
        <v/>
      </c>
      <c r="K25" s="18">
        <f>IF(MONTH(Calc!I8)=Calc!$B$1,Calc!I8,"")</f>
        <v/>
      </c>
      <c r="L25" s="18">
        <f>IF(MONTH(Calc!J8)=Calc!$B$1,Calc!J8,"")</f>
        <v/>
      </c>
      <c r="N25" s="19">
        <f>INDEX(Calc!$E$10:$E$15,6)</f>
        <v/>
      </c>
    </row>
    <row r="26" ht="26" customHeight="1">
      <c r="F26" s="20" t="n"/>
      <c r="G26" s="20" t="n"/>
      <c r="H26" s="20" t="n"/>
      <c r="I26" s="20" t="n"/>
      <c r="J26" s="20" t="n"/>
      <c r="K26" s="20" t="n"/>
      <c r="L26" s="20" t="n"/>
    </row>
    <row r="27" ht="26" customHeight="1">
      <c r="B27" s="6">
        <f>IF(Settings!$C$96="",Settings!$B$96,Settings!$C$96)</f>
        <v/>
      </c>
      <c r="C27" s="6" t="n"/>
      <c r="D27" s="6" t="n"/>
      <c r="F27" s="20" t="n"/>
      <c r="G27" s="20" t="n"/>
      <c r="H27" s="20" t="n"/>
      <c r="I27" s="20" t="n"/>
      <c r="J27" s="20" t="n"/>
      <c r="K27" s="20" t="n"/>
      <c r="L27" s="20" t="n"/>
    </row>
    <row r="28" ht="26" customHeight="1">
      <c r="B28" s="22" t="n"/>
      <c r="C28" s="23" t="n"/>
      <c r="D28" s="8" t="n"/>
      <c r="F28" s="20" t="n"/>
      <c r="G28" s="20" t="n"/>
      <c r="H28" s="20" t="n"/>
      <c r="I28" s="20" t="n"/>
      <c r="J28" s="20" t="n"/>
      <c r="K28" s="20" t="n"/>
      <c r="L28" s="20" t="n"/>
    </row>
    <row r="29">
      <c r="B29" s="22" t="n"/>
      <c r="C29" s="23" t="n"/>
      <c r="D29" s="8" t="n"/>
    </row>
    <row r="30">
      <c r="B30" s="22" t="n"/>
      <c r="C30" s="23" t="n"/>
      <c r="D30" s="8" t="n"/>
    </row>
    <row r="31">
      <c r="B31" s="22" t="n"/>
      <c r="C31" s="23" t="n"/>
      <c r="D31" s="8" t="n"/>
    </row>
    <row r="32">
      <c r="B32" s="22" t="n"/>
      <c r="C32" s="23" t="n"/>
      <c r="D32" s="8" t="n"/>
    </row>
    <row r="34">
      <c r="B34" s="6">
        <f>IF(Settings!$C$97="",Settings!$B$97,Settings!$C$97)</f>
        <v/>
      </c>
      <c r="C34" s="6" t="n"/>
      <c r="D34" s="6" t="n"/>
    </row>
    <row r="35">
      <c r="B35" s="8" t="n"/>
      <c r="C35" s="8" t="n"/>
      <c r="D35" s="8" t="n"/>
    </row>
    <row r="36">
      <c r="B36" s="8" t="n"/>
      <c r="C36" s="8" t="n"/>
      <c r="D36" s="8" t="n"/>
    </row>
    <row r="37">
      <c r="B37" s="8" t="n"/>
      <c r="C37" s="8" t="n"/>
      <c r="D37" s="8" t="n"/>
    </row>
    <row r="38">
      <c r="B38" s="8" t="n"/>
      <c r="C38" s="8" t="n"/>
      <c r="D38" s="8" t="n"/>
    </row>
    <row r="39">
      <c r="B39" s="8" t="n"/>
      <c r="C39" s="8" t="n"/>
      <c r="D39" s="8" t="n"/>
    </row>
    <row r="40">
      <c r="B40" s="8" t="n"/>
      <c r="C40" s="8" t="n"/>
      <c r="D40" s="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0"/>
  <conditionalFormatting sqref="F5:L5 F9:L9 F13:L13 F17:L17 F21:L21 F25:L25">
    <cfRule type="expression" priority="1" dxfId="0">
      <formula>AND(ISNUMBER(F5),F5=TODAY())</formula>
    </cfRule>
  </conditionalFormatting>
  <conditionalFormatting sqref="E5:L8">
    <cfRule type="expression" priority="2" dxfId="1">
      <formula>$N$5=FALSE</formula>
    </cfRule>
  </conditionalFormatting>
  <conditionalFormatting sqref="E9:L12">
    <cfRule type="expression" priority="3" dxfId="1">
      <formula>$N$9=FALSE</formula>
    </cfRule>
  </conditionalFormatting>
  <conditionalFormatting sqref="E13:L16">
    <cfRule type="expression" priority="4" dxfId="1">
      <formula>$N$13=FALSE</formula>
    </cfRule>
  </conditionalFormatting>
  <conditionalFormatting sqref="E17:L20">
    <cfRule type="expression" priority="5" dxfId="1">
      <formula>$N$17=FALSE</formula>
    </cfRule>
  </conditionalFormatting>
  <conditionalFormatting sqref="E21:L24">
    <cfRule type="expression" priority="6" dxfId="1">
      <formula>$N$21=FALSE</formula>
    </cfRule>
  </conditionalFormatting>
  <conditionalFormatting sqref="E25:L28">
    <cfRule type="expression" priority="7" dxfId="1">
      <formula>$N$25=FALSE</formula>
    </cfRule>
  </conditionalFormatting>
  <conditionalFormatting sqref="D11:D25">
    <cfRule type="expression" priority="8" dxfId="2">
      <formula>B11=TRUE</formula>
    </cfRule>
  </conditionalFormatting>
  <conditionalFormatting sqref="C4:D8">
    <cfRule type="expression" priority="9" dxfId="2">
      <formula>$B4=TRUE</formula>
    </cfRule>
  </conditionalFormatting>
  <dataValidations count="1">
    <dataValidation sqref="C11:C25" showDropDown="0" showInputMessage="0" showErrorMessage="0" allowBlank="1" type="list">
      <formula1>=Settings!$B$12:$B$18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4566B"/>
    <outlinePr summaryBelow="1" summaryRight="1"/>
    <pageSetUpPr fitToPage="1"/>
  </sheetPr>
  <dimension ref="B1:BT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3" customWidth="1" min="9" max="9"/>
    <col width="11" customWidth="1" min="10" max="10"/>
    <col width="11" customWidth="1" min="11" max="11"/>
    <col width="13" customWidth="1" min="12" max="12"/>
    <col width="20" customWidth="1" min="13" max="13"/>
    <col width="13" customWidth="1" min="14" max="14"/>
    <col width="3" customWidth="1" min="15" max="15"/>
    <col width="11" customWidth="1" min="16" max="16"/>
    <col width="11" customWidth="1" min="17" max="17"/>
    <col width="13" customWidth="1" min="18" max="18"/>
    <col width="20" customWidth="1" min="19" max="19"/>
    <col width="13" customWidth="1" min="20" max="20"/>
    <col width="3" customWidth="1" min="21" max="21"/>
    <col width="11" customWidth="1" min="22" max="22"/>
    <col width="11" customWidth="1" min="23" max="23"/>
    <col width="13" customWidth="1" min="24" max="24"/>
    <col width="20" customWidth="1" min="25" max="25"/>
    <col width="13" customWidth="1" min="26" max="26"/>
    <col width="3" customWidth="1" min="27" max="27"/>
    <col width="11" customWidth="1" min="28" max="28"/>
    <col width="11" customWidth="1" min="29" max="29"/>
    <col width="13" customWidth="1" min="30" max="30"/>
    <col width="20" customWidth="1" min="31" max="31"/>
    <col width="13" customWidth="1" min="32" max="32"/>
    <col width="3" customWidth="1" min="33" max="33"/>
    <col width="11" customWidth="1" min="34" max="34"/>
    <col width="11" customWidth="1" min="35" max="35"/>
    <col width="13" customWidth="1" min="36" max="36"/>
    <col width="20" customWidth="1" min="37" max="37"/>
    <col width="13" customWidth="1" min="38" max="38"/>
    <col width="3" customWidth="1" min="39" max="39"/>
    <col width="11" customWidth="1" min="40" max="40"/>
    <col width="11" customWidth="1" min="41" max="41"/>
    <col width="13" customWidth="1" min="42" max="42"/>
    <col width="20" customWidth="1" min="43" max="43"/>
    <col width="13" customWidth="1" min="44" max="44"/>
    <col width="3" customWidth="1" min="45" max="45"/>
    <col width="11" customWidth="1" min="46" max="46"/>
    <col width="11" customWidth="1" min="47" max="47"/>
    <col width="13" customWidth="1" min="48" max="48"/>
    <col width="20" customWidth="1" min="49" max="49"/>
    <col width="13" customWidth="1" min="50" max="50"/>
    <col width="3" customWidth="1" min="51" max="51"/>
    <col width="3" customWidth="1" min="52" max="52"/>
    <col width="26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9" customWidth="1" min="61" max="61"/>
    <col width="14" customWidth="1" min="62" max="62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B1" s="24">
        <f>Calc!M3&amp;"  ·  "&amp;INDEX(Calc!$F$10:$F$15,$B$2)</f>
        <v/>
      </c>
      <c r="H1" s="25">
        <f>Calc!$B$1</f>
        <v/>
      </c>
    </row>
    <row r="2">
      <c r="B2" s="26" t="n">
        <v>1</v>
      </c>
      <c r="D2" s="17">
        <f>HYPERLINK("#'Month'!A1","◀ Month")</f>
        <v/>
      </c>
      <c r="H2" s="17">
        <f>HYPERLINK("#'W2'!A1","Next ›")</f>
        <v/>
      </c>
    </row>
    <row r="3">
      <c r="B3" s="27">
        <f>IF(INDEX(Calc!$E$10:$E$15,$B$2),"","This week is not used in "&amp;Calc!$M$2&amp;".")</f>
        <v/>
      </c>
    </row>
    <row r="4">
      <c r="BA4" s="6">
        <f>IF(Settings!$C$100="",Settings!$B$100,Settings!$C$100)</f>
        <v/>
      </c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</row>
    <row r="5">
      <c r="B5" s="28">
        <f>LEFT(Calc!D1,2)</f>
        <v/>
      </c>
      <c r="C5" s="28">
        <f>LEFT(Calc!E1,2)</f>
        <v/>
      </c>
      <c r="D5" s="28">
        <f>LEFT(Calc!F1,2)</f>
        <v/>
      </c>
      <c r="E5" s="28">
        <f>LEFT(Calc!G1,2)</f>
        <v/>
      </c>
      <c r="F5" s="28">
        <f>LEFT(Calc!H1,2)</f>
        <v/>
      </c>
      <c r="G5" s="28">
        <f>LEFT(Calc!I1,2)</f>
        <v/>
      </c>
      <c r="H5" s="28">
        <f>LEFT(Calc!J1,2)</f>
        <v/>
      </c>
      <c r="J5" s="29">
        <f>IF(INDEX(Settings!$C$69:$C$75,WEEKDAY($N$5,1))="",INDEX(Settings!$B$69:$B$75,WEEKDAY($N$5,1)),INDEX(Settings!$C$69:$C$75,WEEKDAY($N$5,1)))</f>
        <v/>
      </c>
      <c r="K5" s="29" t="n"/>
      <c r="L5" s="29" t="n"/>
      <c r="M5" s="29" t="n"/>
      <c r="N5" s="30">
        <f>INDEX(Calc!$D$3:$J$8,$B$2,1)</f>
        <v/>
      </c>
      <c r="P5" s="29">
        <f>IF(INDEX(Settings!$C$69:$C$75,WEEKDAY($T$5,1))="",INDEX(Settings!$B$69:$B$75,WEEKDAY($T$5,1)),INDEX(Settings!$C$69:$C$75,WEEKDAY($T$5,1)))</f>
        <v/>
      </c>
      <c r="Q5" s="29" t="n"/>
      <c r="R5" s="29" t="n"/>
      <c r="S5" s="29" t="n"/>
      <c r="T5" s="30">
        <f>INDEX(Calc!$D$3:$J$8,$B$2,2)</f>
        <v/>
      </c>
      <c r="V5" s="29">
        <f>IF(INDEX(Settings!$C$69:$C$75,WEEKDAY($Z$5,1))="",INDEX(Settings!$B$69:$B$75,WEEKDAY($Z$5,1)),INDEX(Settings!$C$69:$C$75,WEEKDAY($Z$5,1)))</f>
        <v/>
      </c>
      <c r="W5" s="29" t="n"/>
      <c r="X5" s="29" t="n"/>
      <c r="Y5" s="29" t="n"/>
      <c r="Z5" s="30">
        <f>INDEX(Calc!$D$3:$J$8,$B$2,3)</f>
        <v/>
      </c>
      <c r="AB5" s="29">
        <f>IF(INDEX(Settings!$C$69:$C$75,WEEKDAY($AF$5,1))="",INDEX(Settings!$B$69:$B$75,WEEKDAY($AF$5,1)),INDEX(Settings!$C$69:$C$75,WEEKDAY($AF$5,1)))</f>
        <v/>
      </c>
      <c r="AC5" s="29" t="n"/>
      <c r="AD5" s="29" t="n"/>
      <c r="AE5" s="29" t="n"/>
      <c r="AF5" s="30">
        <f>INDEX(Calc!$D$3:$J$8,$B$2,4)</f>
        <v/>
      </c>
      <c r="AH5" s="29">
        <f>IF(INDEX(Settings!$C$69:$C$75,WEEKDAY($AL$5,1))="",INDEX(Settings!$B$69:$B$75,WEEKDAY($AL$5,1)),INDEX(Settings!$C$69:$C$75,WEEKDAY($AL$5,1)))</f>
        <v/>
      </c>
      <c r="AI5" s="29" t="n"/>
      <c r="AJ5" s="29" t="n"/>
      <c r="AK5" s="29" t="n"/>
      <c r="AL5" s="30">
        <f>INDEX(Calc!$D$3:$J$8,$B$2,5)</f>
        <v/>
      </c>
      <c r="AN5" s="29">
        <f>IF(INDEX(Settings!$C$69:$C$75,WEEKDAY($AR$5,1))="",INDEX(Settings!$B$69:$B$75,WEEKDAY($AR$5,1)),INDEX(Settings!$C$69:$C$75,WEEKDAY($AR$5,1)))</f>
        <v/>
      </c>
      <c r="AO5" s="29" t="n"/>
      <c r="AP5" s="29" t="n"/>
      <c r="AQ5" s="29" t="n"/>
      <c r="AR5" s="30">
        <f>INDEX(Calc!$D$3:$J$8,$B$2,6)</f>
        <v/>
      </c>
      <c r="AT5" s="29">
        <f>IF(INDEX(Settings!$C$69:$C$75,WEEKDAY($AX$5,1))="",INDEX(Settings!$B$69:$B$75,WEEKDAY($AX$5,1)),INDEX(Settings!$C$69:$C$75,WEEKDAY($AX$5,1)))</f>
        <v/>
      </c>
      <c r="AU5" s="29" t="n"/>
      <c r="AV5" s="29" t="n"/>
      <c r="AW5" s="29" t="n"/>
      <c r="AX5" s="30">
        <f>INDEX(Calc!$D$3:$J$8,$B$2,7)</f>
        <v/>
      </c>
      <c r="BA5" s="31" t="n"/>
      <c r="BB5" s="32">
        <f>LEFT(IF(INDEX(Settings!$C$69:$C$75,WEEKDAY(INDEX(Calc!$D$3:$J$8,$B$2,1),1))="",INDEX(Settings!$B$69:$B$75,WEEKDAY(INDEX(Calc!$D$3:$J$8,$B$2,1),1)),INDEX(Settings!$C$69:$C$75,WEEKDAY(INDEX(Calc!$D$3:$J$8,$B$2,1),1))),3)</f>
        <v/>
      </c>
      <c r="BC5" s="32">
        <f>LEFT(IF(INDEX(Settings!$C$69:$C$75,WEEKDAY(INDEX(Calc!$D$3:$J$8,$B$2,2),1))="",INDEX(Settings!$B$69:$B$75,WEEKDAY(INDEX(Calc!$D$3:$J$8,$B$2,2),1)),INDEX(Settings!$C$69:$C$75,WEEKDAY(INDEX(Calc!$D$3:$J$8,$B$2,2),1))),3)</f>
        <v/>
      </c>
      <c r="BD5" s="32">
        <f>LEFT(IF(INDEX(Settings!$C$69:$C$75,WEEKDAY(INDEX(Calc!$D$3:$J$8,$B$2,3),1))="",INDEX(Settings!$B$69:$B$75,WEEKDAY(INDEX(Calc!$D$3:$J$8,$B$2,3),1)),INDEX(Settings!$C$69:$C$75,WEEKDAY(INDEX(Calc!$D$3:$J$8,$B$2,3),1))),3)</f>
        <v/>
      </c>
      <c r="BE5" s="32">
        <f>LEFT(IF(INDEX(Settings!$C$69:$C$75,WEEKDAY(INDEX(Calc!$D$3:$J$8,$B$2,4),1))="",INDEX(Settings!$B$69:$B$75,WEEKDAY(INDEX(Calc!$D$3:$J$8,$B$2,4),1)),INDEX(Settings!$C$69:$C$75,WEEKDAY(INDEX(Calc!$D$3:$J$8,$B$2,4),1))),3)</f>
        <v/>
      </c>
      <c r="BF5" s="32">
        <f>LEFT(IF(INDEX(Settings!$C$69:$C$75,WEEKDAY(INDEX(Calc!$D$3:$J$8,$B$2,5),1))="",INDEX(Settings!$B$69:$B$75,WEEKDAY(INDEX(Calc!$D$3:$J$8,$B$2,5),1)),INDEX(Settings!$C$69:$C$75,WEEKDAY(INDEX(Calc!$D$3:$J$8,$B$2,5),1))),3)</f>
        <v/>
      </c>
      <c r="BG5" s="32">
        <f>LEFT(IF(INDEX(Settings!$C$69:$C$75,WEEKDAY(INDEX(Calc!$D$3:$J$8,$B$2,6),1))="",INDEX(Settings!$B$69:$B$75,WEEKDAY(INDEX(Calc!$D$3:$J$8,$B$2,6),1)),INDEX(Settings!$C$69:$C$75,WEEKDAY(INDEX(Calc!$D$3:$J$8,$B$2,6),1))),3)</f>
        <v/>
      </c>
      <c r="BH5" s="32">
        <f>LEFT(IF(INDEX(Settings!$C$69:$C$75,WEEKDAY(INDEX(Calc!$D$3:$J$8,$B$2,7),1))="",INDEX(Settings!$B$69:$B$75,WEEKDAY(INDEX(Calc!$D$3:$J$8,$B$2,7),1)),INDEX(Settings!$C$69:$C$75,WEEKDAY(INDEX(Calc!$D$3:$J$8,$B$2,7),1))),3)</f>
        <v/>
      </c>
      <c r="BI5" s="32" t="inlineStr">
        <is>
          <t>%</t>
        </is>
      </c>
      <c r="BJ5" s="31" t="inlineStr">
        <is>
          <t>Progress</t>
        </is>
      </c>
    </row>
    <row r="6">
      <c r="B6" s="33">
        <f>Calc!D3</f>
        <v/>
      </c>
      <c r="C6" s="33">
        <f>Calc!E3</f>
        <v/>
      </c>
      <c r="D6" s="33">
        <f>Calc!F3</f>
        <v/>
      </c>
      <c r="E6" s="33">
        <f>Calc!G3</f>
        <v/>
      </c>
      <c r="F6" s="33">
        <f>Calc!H3</f>
        <v/>
      </c>
      <c r="G6" s="33">
        <f>Calc!I3</f>
        <v/>
      </c>
      <c r="H6" s="33">
        <f>Calc!J3</f>
        <v/>
      </c>
      <c r="J6" s="34">
        <f>IFERROR(SUMPRODUCT((M47:M56&lt;&gt;"")*(J47:J56=TRUE))/SUMPRODUCT((M47:M56&lt;&gt;"")*1),0)</f>
        <v/>
      </c>
      <c r="K6" s="35">
        <f>IF(J6="","",REPT("█",ROUND(J6*14,0))&amp;REPT("░",14-ROUND(J6*14,0)))</f>
        <v/>
      </c>
      <c r="L6" s="13" t="n"/>
      <c r="M6" s="13" t="n"/>
      <c r="N6" s="13" t="n"/>
      <c r="P6" s="34">
        <f>IFERROR(SUMPRODUCT((S47:S56&lt;&gt;"")*(P47:P56=TRUE))/SUMPRODUCT((S47:S56&lt;&gt;"")*1),0)</f>
        <v/>
      </c>
      <c r="Q6" s="35">
        <f>IF(P6="","",REPT("█",ROUND(P6*14,0))&amp;REPT("░",14-ROUND(P6*14,0)))</f>
        <v/>
      </c>
      <c r="R6" s="13" t="n"/>
      <c r="S6" s="13" t="n"/>
      <c r="T6" s="13" t="n"/>
      <c r="V6" s="34">
        <f>IFERROR(SUMPRODUCT((Y47:Y56&lt;&gt;"")*(V47:V56=TRUE))/SUMPRODUCT((Y47:Y56&lt;&gt;"")*1),0)</f>
        <v/>
      </c>
      <c r="W6" s="35">
        <f>IF(V6="","",REPT("█",ROUND(V6*14,0))&amp;REPT("░",14-ROUND(V6*14,0)))</f>
        <v/>
      </c>
      <c r="X6" s="13" t="n"/>
      <c r="Y6" s="13" t="n"/>
      <c r="Z6" s="13" t="n"/>
      <c r="AB6" s="34">
        <f>IFERROR(SUMPRODUCT((AE47:AE56&lt;&gt;"")*(AB47:AB56=TRUE))/SUMPRODUCT((AE47:AE56&lt;&gt;"")*1),0)</f>
        <v/>
      </c>
      <c r="AC6" s="35">
        <f>IF(AB6="","",REPT("█",ROUND(AB6*14,0))&amp;REPT("░",14-ROUND(AB6*14,0)))</f>
        <v/>
      </c>
      <c r="AD6" s="13" t="n"/>
      <c r="AE6" s="13" t="n"/>
      <c r="AF6" s="13" t="n"/>
      <c r="AH6" s="34">
        <f>IFERROR(SUMPRODUCT((AK47:AK56&lt;&gt;"")*(AH47:AH56=TRUE))/SUMPRODUCT((AK47:AK56&lt;&gt;"")*1),0)</f>
        <v/>
      </c>
      <c r="AI6" s="35">
        <f>IF(AH6="","",REPT("█",ROUND(AH6*14,0))&amp;REPT("░",14-ROUND(AH6*14,0)))</f>
        <v/>
      </c>
      <c r="AJ6" s="13" t="n"/>
      <c r="AK6" s="13" t="n"/>
      <c r="AL6" s="13" t="n"/>
      <c r="AN6" s="34">
        <f>IFERROR(SUMPRODUCT((AQ47:AQ56&lt;&gt;"")*(AN47:AN56=TRUE))/SUMPRODUCT((AQ47:AQ56&lt;&gt;"")*1),0)</f>
        <v/>
      </c>
      <c r="AO6" s="35">
        <f>IF(AN6="","",REPT("█",ROUND(AN6*14,0))&amp;REPT("░",14-ROUND(AN6*14,0)))</f>
        <v/>
      </c>
      <c r="AP6" s="13" t="n"/>
      <c r="AQ6" s="13" t="n"/>
      <c r="AR6" s="13" t="n"/>
      <c r="AT6" s="34">
        <f>IFERROR(SUMPRODUCT((AW47:AW56&lt;&gt;"")*(AT47:AT56=TRUE))/SUMPRODUCT((AW47:AW56&lt;&gt;"")*1),0)</f>
        <v/>
      </c>
      <c r="AU6" s="35">
        <f>IF(AT6="","",REPT("█",ROUND(AT6*14,0))&amp;REPT("░",14-ROUND(AT6*14,0)))</f>
        <v/>
      </c>
      <c r="AV6" s="13" t="n"/>
      <c r="AW6" s="13" t="n"/>
      <c r="AX6" s="13" t="n"/>
      <c r="BA6" s="13">
        <f>IF(Settings!$B$37="","",Settings!$B$37)</f>
        <v/>
      </c>
      <c r="BB6" s="14" t="b">
        <v>0</v>
      </c>
      <c r="BC6" s="14" t="b">
        <v>0</v>
      </c>
      <c r="BD6" s="14" t="b">
        <v>0</v>
      </c>
      <c r="BE6" s="14" t="b">
        <v>0</v>
      </c>
      <c r="BF6" s="14" t="b">
        <v>0</v>
      </c>
      <c r="BG6" s="14" t="b">
        <v>0</v>
      </c>
      <c r="BH6" s="14" t="b">
        <v>0</v>
      </c>
      <c r="BI6" s="34">
        <f>IF($BA6="","",COUNTIF(BB6:BH6,TRUE)/7)</f>
        <v/>
      </c>
      <c r="BJ6" s="36">
        <f>IF(BI6="","",REPT("█",ROUND(BI6*10,0))&amp;REPT("░",10-ROUND(BI6*10,0)))</f>
        <v/>
      </c>
    </row>
    <row r="7">
      <c r="B7" s="33">
        <f>Calc!D4</f>
        <v/>
      </c>
      <c r="C7" s="33">
        <f>Calc!E4</f>
        <v/>
      </c>
      <c r="D7" s="33">
        <f>Calc!F4</f>
        <v/>
      </c>
      <c r="E7" s="33">
        <f>Calc!G4</f>
        <v/>
      </c>
      <c r="F7" s="33">
        <f>Calc!H4</f>
        <v/>
      </c>
      <c r="G7" s="33">
        <f>Calc!I4</f>
        <v/>
      </c>
      <c r="H7" s="33">
        <f>Calc!J4</f>
        <v/>
      </c>
      <c r="BA7" s="13">
        <f>IF(Settings!$B$38="","",Settings!$B$38)</f>
        <v/>
      </c>
      <c r="BB7" s="14" t="b">
        <v>0</v>
      </c>
      <c r="BC7" s="14" t="b">
        <v>0</v>
      </c>
      <c r="BD7" s="14" t="b">
        <v>0</v>
      </c>
      <c r="BE7" s="14" t="b">
        <v>0</v>
      </c>
      <c r="BF7" s="14" t="b">
        <v>0</v>
      </c>
      <c r="BG7" s="14" t="b">
        <v>0</v>
      </c>
      <c r="BH7" s="14" t="b">
        <v>0</v>
      </c>
      <c r="BI7" s="34">
        <f>IF($BA7="","",COUNTIF(BB7:BH7,TRUE)/7)</f>
        <v/>
      </c>
      <c r="BJ7" s="36">
        <f>IF(BI7="","",REPT("█",ROUND(BI7*10,0))&amp;REPT("░",10-ROUND(BI7*10,0)))</f>
        <v/>
      </c>
    </row>
    <row r="8">
      <c r="B8" s="33">
        <f>Calc!D5</f>
        <v/>
      </c>
      <c r="C8" s="33">
        <f>Calc!E5</f>
        <v/>
      </c>
      <c r="D8" s="33">
        <f>Calc!F5</f>
        <v/>
      </c>
      <c r="E8" s="33">
        <f>Calc!G5</f>
        <v/>
      </c>
      <c r="F8" s="33">
        <f>Calc!H5</f>
        <v/>
      </c>
      <c r="G8" s="33">
        <f>Calc!I5</f>
        <v/>
      </c>
      <c r="H8" s="33">
        <f>Calc!J5</f>
        <v/>
      </c>
      <c r="J8" s="6">
        <f>IF(Settings!$C$98="",Settings!$B$98,Settings!$C$98)</f>
        <v/>
      </c>
      <c r="K8" s="6" t="n"/>
      <c r="L8" s="6" t="n"/>
      <c r="M8" s="6" t="n"/>
      <c r="N8" s="6" t="n"/>
      <c r="P8" s="6">
        <f>IF(Settings!$C$98="",Settings!$B$98,Settings!$C$98)</f>
        <v/>
      </c>
      <c r="Q8" s="6" t="n"/>
      <c r="R8" s="6" t="n"/>
      <c r="S8" s="6" t="n"/>
      <c r="T8" s="6" t="n"/>
      <c r="V8" s="6">
        <f>IF(Settings!$C$98="",Settings!$B$98,Settings!$C$98)</f>
        <v/>
      </c>
      <c r="W8" s="6" t="n"/>
      <c r="X8" s="6" t="n"/>
      <c r="Y8" s="6" t="n"/>
      <c r="Z8" s="6" t="n"/>
      <c r="AB8" s="6">
        <f>IF(Settings!$C$98="",Settings!$B$98,Settings!$C$98)</f>
        <v/>
      </c>
      <c r="AC8" s="6" t="n"/>
      <c r="AD8" s="6" t="n"/>
      <c r="AE8" s="6" t="n"/>
      <c r="AF8" s="6" t="n"/>
      <c r="AH8" s="6">
        <f>IF(Settings!$C$98="",Settings!$B$98,Settings!$C$98)</f>
        <v/>
      </c>
      <c r="AI8" s="6" t="n"/>
      <c r="AJ8" s="6" t="n"/>
      <c r="AK8" s="6" t="n"/>
      <c r="AL8" s="6" t="n"/>
      <c r="AN8" s="6">
        <f>IF(Settings!$C$98="",Settings!$B$98,Settings!$C$98)</f>
        <v/>
      </c>
      <c r="AO8" s="6" t="n"/>
      <c r="AP8" s="6" t="n"/>
      <c r="AQ8" s="6" t="n"/>
      <c r="AR8" s="6" t="n"/>
      <c r="AT8" s="6">
        <f>IF(Settings!$C$98="",Settings!$B$98,Settings!$C$98)</f>
        <v/>
      </c>
      <c r="AU8" s="6" t="n"/>
      <c r="AV8" s="6" t="n"/>
      <c r="AW8" s="6" t="n"/>
      <c r="AX8" s="6" t="n"/>
      <c r="BA8" s="13">
        <f>IF(Settings!$B$39="","",Settings!$B$39)</f>
        <v/>
      </c>
      <c r="BB8" s="14" t="b">
        <v>0</v>
      </c>
      <c r="BC8" s="14" t="b">
        <v>0</v>
      </c>
      <c r="BD8" s="14" t="b">
        <v>0</v>
      </c>
      <c r="BE8" s="14" t="b">
        <v>0</v>
      </c>
      <c r="BF8" s="14" t="b">
        <v>0</v>
      </c>
      <c r="BG8" s="14" t="b">
        <v>0</v>
      </c>
      <c r="BH8" s="14" t="b">
        <v>0</v>
      </c>
      <c r="BI8" s="34">
        <f>IF($BA8="","",COUNTIF(BB8:BH8,TRUE)/7)</f>
        <v/>
      </c>
      <c r="BJ8" s="36">
        <f>IF(BI8="","",REPT("█",ROUND(BI8*10,0))&amp;REPT("░",10-ROUND(BI8*10,0)))</f>
        <v/>
      </c>
    </row>
    <row r="9">
      <c r="B9" s="33">
        <f>Calc!D6</f>
        <v/>
      </c>
      <c r="C9" s="33">
        <f>Calc!E6</f>
        <v/>
      </c>
      <c r="D9" s="33">
        <f>Calc!F6</f>
        <v/>
      </c>
      <c r="E9" s="33">
        <f>Calc!G6</f>
        <v/>
      </c>
      <c r="F9" s="33">
        <f>Calc!H6</f>
        <v/>
      </c>
      <c r="G9" s="33">
        <f>Calc!I6</f>
        <v/>
      </c>
      <c r="H9" s="33">
        <f>Calc!J6</f>
        <v/>
      </c>
      <c r="J9" s="37">
        <f>IF(0*Settings!$C$7&gt;=1440,"",MOD(ROUND((Settings!$C$6+0*Settings!$C$7/1440)*1440,0),1440)/1440)</f>
        <v/>
      </c>
      <c r="K9" s="8" t="n"/>
      <c r="L9" s="8" t="n"/>
      <c r="M9" s="8" t="n"/>
      <c r="N9" s="8" t="n"/>
      <c r="P9" s="37">
        <f>IF(0*Settings!$C$7&gt;=1440,"",MOD(ROUND((Settings!$C$6+0*Settings!$C$7/1440)*1440,0),1440)/1440)</f>
        <v/>
      </c>
      <c r="Q9" s="8" t="n"/>
      <c r="R9" s="8" t="n"/>
      <c r="S9" s="8" t="n"/>
      <c r="T9" s="8" t="n"/>
      <c r="V9" s="37">
        <f>IF(0*Settings!$C$7&gt;=1440,"",MOD(ROUND((Settings!$C$6+0*Settings!$C$7/1440)*1440,0),1440)/1440)</f>
        <v/>
      </c>
      <c r="W9" s="8" t="n"/>
      <c r="X9" s="8" t="n"/>
      <c r="Y9" s="8" t="n"/>
      <c r="Z9" s="8" t="n"/>
      <c r="AB9" s="37">
        <f>IF(0*Settings!$C$7&gt;=1440,"",MOD(ROUND((Settings!$C$6+0*Settings!$C$7/1440)*1440,0),1440)/1440)</f>
        <v/>
      </c>
      <c r="AC9" s="8" t="n"/>
      <c r="AD9" s="8" t="n"/>
      <c r="AE9" s="8" t="n"/>
      <c r="AF9" s="8" t="n"/>
      <c r="AH9" s="37">
        <f>IF(0*Settings!$C$7&gt;=1440,"",MOD(ROUND((Settings!$C$6+0*Settings!$C$7/1440)*1440,0),1440)/1440)</f>
        <v/>
      </c>
      <c r="AI9" s="8" t="n"/>
      <c r="AJ9" s="8" t="n"/>
      <c r="AK9" s="8" t="n"/>
      <c r="AL9" s="8" t="n"/>
      <c r="AN9" s="37">
        <f>IF(0*Settings!$C$7&gt;=1440,"",MOD(ROUND((Settings!$C$6+0*Settings!$C$7/1440)*1440,0),1440)/1440)</f>
        <v/>
      </c>
      <c r="AO9" s="8" t="n"/>
      <c r="AP9" s="8" t="n"/>
      <c r="AQ9" s="8" t="n"/>
      <c r="AR9" s="8" t="n"/>
      <c r="AT9" s="37">
        <f>IF(0*Settings!$C$7&gt;=1440,"",MOD(ROUND((Settings!$C$6+0*Settings!$C$7/1440)*1440,0),1440)/1440)</f>
        <v/>
      </c>
      <c r="AU9" s="8" t="n"/>
      <c r="AV9" s="8" t="n"/>
      <c r="AW9" s="8" t="n"/>
      <c r="AX9" s="8" t="n"/>
      <c r="BA9" s="13">
        <f>IF(Settings!$B$40="","",Settings!$B$40)</f>
        <v/>
      </c>
      <c r="BB9" s="14" t="b">
        <v>0</v>
      </c>
      <c r="BC9" s="14" t="b">
        <v>0</v>
      </c>
      <c r="BD9" s="14" t="b">
        <v>0</v>
      </c>
      <c r="BE9" s="14" t="b">
        <v>0</v>
      </c>
      <c r="BF9" s="14" t="b">
        <v>0</v>
      </c>
      <c r="BG9" s="14" t="b">
        <v>0</v>
      </c>
      <c r="BH9" s="14" t="b">
        <v>0</v>
      </c>
      <c r="BI9" s="34">
        <f>IF($BA9="","",COUNTIF(BB9:BH9,TRUE)/7)</f>
        <v/>
      </c>
      <c r="BJ9" s="36">
        <f>IF(BI9="","",REPT("█",ROUND(BI9*10,0))&amp;REPT("░",10-ROUND(BI9*10,0)))</f>
        <v/>
      </c>
    </row>
    <row r="10">
      <c r="B10" s="33">
        <f>Calc!D7</f>
        <v/>
      </c>
      <c r="C10" s="33">
        <f>Calc!E7</f>
        <v/>
      </c>
      <c r="D10" s="33">
        <f>Calc!F7</f>
        <v/>
      </c>
      <c r="E10" s="33">
        <f>Calc!G7</f>
        <v/>
      </c>
      <c r="F10" s="33">
        <f>Calc!H7</f>
        <v/>
      </c>
      <c r="G10" s="33">
        <f>Calc!I7</f>
        <v/>
      </c>
      <c r="H10" s="33">
        <f>Calc!J7</f>
        <v/>
      </c>
      <c r="J10" s="37">
        <f>IF(1*Settings!$C$7&gt;=1440,"",MOD(ROUND((Settings!$C$6+1*Settings!$C$7/1440)*1440,0),1440)/1440)</f>
        <v/>
      </c>
      <c r="K10" s="8" t="n"/>
      <c r="L10" s="8" t="n"/>
      <c r="M10" s="8" t="n"/>
      <c r="N10" s="8" t="n"/>
      <c r="P10" s="37">
        <f>IF(1*Settings!$C$7&gt;=1440,"",MOD(ROUND((Settings!$C$6+1*Settings!$C$7/1440)*1440,0),1440)/1440)</f>
        <v/>
      </c>
      <c r="Q10" s="8" t="n"/>
      <c r="R10" s="8" t="n"/>
      <c r="S10" s="8" t="n"/>
      <c r="T10" s="8" t="n"/>
      <c r="V10" s="37">
        <f>IF(1*Settings!$C$7&gt;=1440,"",MOD(ROUND((Settings!$C$6+1*Settings!$C$7/1440)*1440,0),1440)/1440)</f>
        <v/>
      </c>
      <c r="W10" s="8" t="n"/>
      <c r="X10" s="8" t="n"/>
      <c r="Y10" s="8" t="n"/>
      <c r="Z10" s="8" t="n"/>
      <c r="AB10" s="37">
        <f>IF(1*Settings!$C$7&gt;=1440,"",MOD(ROUND((Settings!$C$6+1*Settings!$C$7/1440)*1440,0),1440)/1440)</f>
        <v/>
      </c>
      <c r="AC10" s="8" t="n"/>
      <c r="AD10" s="8" t="n"/>
      <c r="AE10" s="8" t="n"/>
      <c r="AF10" s="8" t="n"/>
      <c r="AH10" s="37">
        <f>IF(1*Settings!$C$7&gt;=1440,"",MOD(ROUND((Settings!$C$6+1*Settings!$C$7/1440)*1440,0),1440)/1440)</f>
        <v/>
      </c>
      <c r="AI10" s="8" t="n"/>
      <c r="AJ10" s="8" t="n"/>
      <c r="AK10" s="8" t="n"/>
      <c r="AL10" s="8" t="n"/>
      <c r="AN10" s="37">
        <f>IF(1*Settings!$C$7&gt;=1440,"",MOD(ROUND((Settings!$C$6+1*Settings!$C$7/1440)*1440,0),1440)/1440)</f>
        <v/>
      </c>
      <c r="AO10" s="8" t="n"/>
      <c r="AP10" s="8" t="n"/>
      <c r="AQ10" s="8" t="n"/>
      <c r="AR10" s="8" t="n"/>
      <c r="AT10" s="37">
        <f>IF(1*Settings!$C$7&gt;=1440,"",MOD(ROUND((Settings!$C$6+1*Settings!$C$7/1440)*1440,0),1440)/1440)</f>
        <v/>
      </c>
      <c r="AU10" s="8" t="n"/>
      <c r="AV10" s="8" t="n"/>
      <c r="AW10" s="8" t="n"/>
      <c r="AX10" s="8" t="n"/>
      <c r="BA10" s="13">
        <f>IF(Settings!$B$41="","",Settings!$B$41)</f>
        <v/>
      </c>
      <c r="BB10" s="14" t="b">
        <v>0</v>
      </c>
      <c r="BC10" s="14" t="b">
        <v>0</v>
      </c>
      <c r="BD10" s="14" t="b">
        <v>0</v>
      </c>
      <c r="BE10" s="14" t="b">
        <v>0</v>
      </c>
      <c r="BF10" s="14" t="b">
        <v>0</v>
      </c>
      <c r="BG10" s="14" t="b">
        <v>0</v>
      </c>
      <c r="BH10" s="14" t="b">
        <v>0</v>
      </c>
      <c r="BI10" s="34">
        <f>IF($BA10="","",COUNTIF(BB10:BH10,TRUE)/7)</f>
        <v/>
      </c>
      <c r="BJ10" s="36">
        <f>IF(BI10="","",REPT("█",ROUND(BI10*10,0))&amp;REPT("░",10-ROUND(BI10*10,0)))</f>
        <v/>
      </c>
    </row>
    <row r="11">
      <c r="B11" s="33">
        <f>Calc!D8</f>
        <v/>
      </c>
      <c r="C11" s="33">
        <f>Calc!E8</f>
        <v/>
      </c>
      <c r="D11" s="33">
        <f>Calc!F8</f>
        <v/>
      </c>
      <c r="E11" s="33">
        <f>Calc!G8</f>
        <v/>
      </c>
      <c r="F11" s="33">
        <f>Calc!H8</f>
        <v/>
      </c>
      <c r="G11" s="33">
        <f>Calc!I8</f>
        <v/>
      </c>
      <c r="H11" s="33">
        <f>Calc!J8</f>
        <v/>
      </c>
      <c r="J11" s="37">
        <f>IF(2*Settings!$C$7&gt;=1440,"",MOD(ROUND((Settings!$C$6+2*Settings!$C$7/1440)*1440,0),1440)/1440)</f>
        <v/>
      </c>
      <c r="K11" s="8" t="n"/>
      <c r="L11" s="8" t="n"/>
      <c r="M11" s="8" t="n"/>
      <c r="N11" s="8" t="n"/>
      <c r="P11" s="37">
        <f>IF(2*Settings!$C$7&gt;=1440,"",MOD(ROUND((Settings!$C$6+2*Settings!$C$7/1440)*1440,0),1440)/1440)</f>
        <v/>
      </c>
      <c r="Q11" s="8" t="n"/>
      <c r="R11" s="8" t="n"/>
      <c r="S11" s="8" t="n"/>
      <c r="T11" s="8" t="n"/>
      <c r="V11" s="37">
        <f>IF(2*Settings!$C$7&gt;=1440,"",MOD(ROUND((Settings!$C$6+2*Settings!$C$7/1440)*1440,0),1440)/1440)</f>
        <v/>
      </c>
      <c r="W11" s="8" t="n"/>
      <c r="X11" s="8" t="n"/>
      <c r="Y11" s="8" t="n"/>
      <c r="Z11" s="8" t="n"/>
      <c r="AB11" s="37">
        <f>IF(2*Settings!$C$7&gt;=1440,"",MOD(ROUND((Settings!$C$6+2*Settings!$C$7/1440)*1440,0),1440)/1440)</f>
        <v/>
      </c>
      <c r="AC11" s="8" t="n"/>
      <c r="AD11" s="8" t="n"/>
      <c r="AE11" s="8" t="n"/>
      <c r="AF11" s="8" t="n"/>
      <c r="AH11" s="37">
        <f>IF(2*Settings!$C$7&gt;=1440,"",MOD(ROUND((Settings!$C$6+2*Settings!$C$7/1440)*1440,0),1440)/1440)</f>
        <v/>
      </c>
      <c r="AI11" s="8" t="n"/>
      <c r="AJ11" s="8" t="n"/>
      <c r="AK11" s="8" t="n"/>
      <c r="AL11" s="8" t="n"/>
      <c r="AN11" s="37">
        <f>IF(2*Settings!$C$7&gt;=1440,"",MOD(ROUND((Settings!$C$6+2*Settings!$C$7/1440)*1440,0),1440)/1440)</f>
        <v/>
      </c>
      <c r="AO11" s="8" t="n"/>
      <c r="AP11" s="8" t="n"/>
      <c r="AQ11" s="8" t="n"/>
      <c r="AR11" s="8" t="n"/>
      <c r="AT11" s="37">
        <f>IF(2*Settings!$C$7&gt;=1440,"",MOD(ROUND((Settings!$C$6+2*Settings!$C$7/1440)*1440,0),1440)/1440)</f>
        <v/>
      </c>
      <c r="AU11" s="8" t="n"/>
      <c r="AV11" s="8" t="n"/>
      <c r="AW11" s="8" t="n"/>
      <c r="AX11" s="8" t="n"/>
      <c r="BA11" s="13">
        <f>IF(Settings!$B$42="","",Settings!$B$42)</f>
        <v/>
      </c>
      <c r="BB11" s="14" t="b">
        <v>0</v>
      </c>
      <c r="BC11" s="14" t="b">
        <v>0</v>
      </c>
      <c r="BD11" s="14" t="b">
        <v>0</v>
      </c>
      <c r="BE11" s="14" t="b">
        <v>0</v>
      </c>
      <c r="BF11" s="14" t="b">
        <v>0</v>
      </c>
      <c r="BG11" s="14" t="b">
        <v>0</v>
      </c>
      <c r="BH11" s="14" t="b">
        <v>0</v>
      </c>
      <c r="BI11" s="34">
        <f>IF($BA11="","",COUNTIF(BB11:BH11,TRUE)/7)</f>
        <v/>
      </c>
      <c r="BJ11" s="36">
        <f>IF(BI11="","",REPT("█",ROUND(BI11*10,0))&amp;REPT("░",10-ROUND(BI11*10,0)))</f>
        <v/>
      </c>
    </row>
    <row r="12">
      <c r="J12" s="37">
        <f>IF(3*Settings!$C$7&gt;=1440,"",MOD(ROUND((Settings!$C$6+3*Settings!$C$7/1440)*1440,0),1440)/1440)</f>
        <v/>
      </c>
      <c r="K12" s="8" t="n"/>
      <c r="L12" s="8" t="n"/>
      <c r="M12" s="8" t="n"/>
      <c r="N12" s="8" t="n"/>
      <c r="P12" s="37">
        <f>IF(3*Settings!$C$7&gt;=1440,"",MOD(ROUND((Settings!$C$6+3*Settings!$C$7/1440)*1440,0),1440)/1440)</f>
        <v/>
      </c>
      <c r="Q12" s="8" t="n"/>
      <c r="R12" s="8" t="n"/>
      <c r="S12" s="8" t="n"/>
      <c r="T12" s="8" t="n"/>
      <c r="V12" s="37">
        <f>IF(3*Settings!$C$7&gt;=1440,"",MOD(ROUND((Settings!$C$6+3*Settings!$C$7/1440)*1440,0),1440)/1440)</f>
        <v/>
      </c>
      <c r="W12" s="8" t="n"/>
      <c r="X12" s="8" t="n"/>
      <c r="Y12" s="8" t="n"/>
      <c r="Z12" s="8" t="n"/>
      <c r="AB12" s="37">
        <f>IF(3*Settings!$C$7&gt;=1440,"",MOD(ROUND((Settings!$C$6+3*Settings!$C$7/1440)*1440,0),1440)/1440)</f>
        <v/>
      </c>
      <c r="AC12" s="8" t="n"/>
      <c r="AD12" s="8" t="n"/>
      <c r="AE12" s="8" t="n"/>
      <c r="AF12" s="8" t="n"/>
      <c r="AH12" s="37">
        <f>IF(3*Settings!$C$7&gt;=1440,"",MOD(ROUND((Settings!$C$6+3*Settings!$C$7/1440)*1440,0),1440)/1440)</f>
        <v/>
      </c>
      <c r="AI12" s="8" t="n"/>
      <c r="AJ12" s="8" t="n"/>
      <c r="AK12" s="8" t="n"/>
      <c r="AL12" s="8" t="n"/>
      <c r="AN12" s="37">
        <f>IF(3*Settings!$C$7&gt;=1440,"",MOD(ROUND((Settings!$C$6+3*Settings!$C$7/1440)*1440,0),1440)/1440)</f>
        <v/>
      </c>
      <c r="AO12" s="8" t="n"/>
      <c r="AP12" s="8" t="n"/>
      <c r="AQ12" s="8" t="n"/>
      <c r="AR12" s="8" t="n"/>
      <c r="AT12" s="37">
        <f>IF(3*Settings!$C$7&gt;=1440,"",MOD(ROUND((Settings!$C$6+3*Settings!$C$7/1440)*1440,0),1440)/1440)</f>
        <v/>
      </c>
      <c r="AU12" s="8" t="n"/>
      <c r="AV12" s="8" t="n"/>
      <c r="AW12" s="8" t="n"/>
      <c r="AX12" s="8" t="n"/>
      <c r="BA12" s="13">
        <f>IF(Settings!$B$43="","",Settings!$B$43)</f>
        <v/>
      </c>
      <c r="BB12" s="14" t="b">
        <v>0</v>
      </c>
      <c r="BC12" s="14" t="b">
        <v>0</v>
      </c>
      <c r="BD12" s="14" t="b">
        <v>0</v>
      </c>
      <c r="BE12" s="14" t="b">
        <v>0</v>
      </c>
      <c r="BF12" s="14" t="b">
        <v>0</v>
      </c>
      <c r="BG12" s="14" t="b">
        <v>0</v>
      </c>
      <c r="BH12" s="14" t="b">
        <v>0</v>
      </c>
      <c r="BI12" s="34">
        <f>IF($BA12="","",COUNTIF(BB12:BH12,TRUE)/7)</f>
        <v/>
      </c>
      <c r="BJ12" s="36">
        <f>IF(BI12="","",REPT("█",ROUND(BI12*10,0))&amp;REPT("░",10-ROUND(BI12*10,0)))</f>
        <v/>
      </c>
    </row>
    <row r="13">
      <c r="J13" s="37">
        <f>IF(4*Settings!$C$7&gt;=1440,"",MOD(ROUND((Settings!$C$6+4*Settings!$C$7/1440)*1440,0),1440)/1440)</f>
        <v/>
      </c>
      <c r="K13" s="8" t="n"/>
      <c r="L13" s="8" t="n"/>
      <c r="M13" s="8" t="n"/>
      <c r="N13" s="8" t="n"/>
      <c r="P13" s="37">
        <f>IF(4*Settings!$C$7&gt;=1440,"",MOD(ROUND((Settings!$C$6+4*Settings!$C$7/1440)*1440,0),1440)/1440)</f>
        <v/>
      </c>
      <c r="Q13" s="8" t="n"/>
      <c r="R13" s="8" t="n"/>
      <c r="S13" s="8" t="n"/>
      <c r="T13" s="8" t="n"/>
      <c r="V13" s="37">
        <f>IF(4*Settings!$C$7&gt;=1440,"",MOD(ROUND((Settings!$C$6+4*Settings!$C$7/1440)*1440,0),1440)/1440)</f>
        <v/>
      </c>
      <c r="W13" s="8" t="n"/>
      <c r="X13" s="8" t="n"/>
      <c r="Y13" s="8" t="n"/>
      <c r="Z13" s="8" t="n"/>
      <c r="AB13" s="37">
        <f>IF(4*Settings!$C$7&gt;=1440,"",MOD(ROUND((Settings!$C$6+4*Settings!$C$7/1440)*1440,0),1440)/1440)</f>
        <v/>
      </c>
      <c r="AC13" s="8" t="n"/>
      <c r="AD13" s="8" t="n"/>
      <c r="AE13" s="8" t="n"/>
      <c r="AF13" s="8" t="n"/>
      <c r="AH13" s="37">
        <f>IF(4*Settings!$C$7&gt;=1440,"",MOD(ROUND((Settings!$C$6+4*Settings!$C$7/1440)*1440,0),1440)/1440)</f>
        <v/>
      </c>
      <c r="AI13" s="8" t="n"/>
      <c r="AJ13" s="8" t="n"/>
      <c r="AK13" s="8" t="n"/>
      <c r="AL13" s="8" t="n"/>
      <c r="AN13" s="37">
        <f>IF(4*Settings!$C$7&gt;=1440,"",MOD(ROUND((Settings!$C$6+4*Settings!$C$7/1440)*1440,0),1440)/1440)</f>
        <v/>
      </c>
      <c r="AO13" s="8" t="n"/>
      <c r="AP13" s="8" t="n"/>
      <c r="AQ13" s="8" t="n"/>
      <c r="AR13" s="8" t="n"/>
      <c r="AT13" s="37">
        <f>IF(4*Settings!$C$7&gt;=1440,"",MOD(ROUND((Settings!$C$6+4*Settings!$C$7/1440)*1440,0),1440)/1440)</f>
        <v/>
      </c>
      <c r="AU13" s="8" t="n"/>
      <c r="AV13" s="8" t="n"/>
      <c r="AW13" s="8" t="n"/>
      <c r="AX13" s="8" t="n"/>
      <c r="BA13" s="13">
        <f>IF(Settings!$B$44="","",Settings!$B$44)</f>
        <v/>
      </c>
      <c r="BB13" s="14" t="b">
        <v>0</v>
      </c>
      <c r="BC13" s="14" t="b">
        <v>0</v>
      </c>
      <c r="BD13" s="14" t="b">
        <v>0</v>
      </c>
      <c r="BE13" s="14" t="b">
        <v>0</v>
      </c>
      <c r="BF13" s="14" t="b">
        <v>0</v>
      </c>
      <c r="BG13" s="14" t="b">
        <v>0</v>
      </c>
      <c r="BH13" s="14" t="b">
        <v>0</v>
      </c>
      <c r="BI13" s="34">
        <f>IF($BA13="","",COUNTIF(BB13:BH13,TRUE)/7)</f>
        <v/>
      </c>
      <c r="BJ13" s="36">
        <f>IF(BI13="","",REPT("█",ROUND(BI13*10,0))&amp;REPT("░",10-ROUND(BI13*10,0)))</f>
        <v/>
      </c>
    </row>
    <row r="14">
      <c r="B14" s="6">
        <f>IF(Settings!$C$102="",Settings!$B$102,Settings!$C$102)</f>
        <v/>
      </c>
      <c r="C14" s="6" t="n"/>
      <c r="D14" s="6" t="n"/>
      <c r="E14" s="6" t="n"/>
      <c r="F14" s="6" t="n"/>
      <c r="G14" s="6" t="n"/>
      <c r="H14" s="21">
        <f>IFERROR(SUMPRODUCT((C15:C19&lt;&gt;"")*(B15:B19=TRUE))/SUMPRODUCT((C15:C19&lt;&gt;"")*1),0)</f>
        <v/>
      </c>
      <c r="J14" s="37">
        <f>IF(5*Settings!$C$7&gt;=1440,"",MOD(ROUND((Settings!$C$6+5*Settings!$C$7/1440)*1440,0),1440)/1440)</f>
        <v/>
      </c>
      <c r="K14" s="8" t="n"/>
      <c r="L14" s="8" t="n"/>
      <c r="M14" s="8" t="n"/>
      <c r="N14" s="8" t="n"/>
      <c r="P14" s="37">
        <f>IF(5*Settings!$C$7&gt;=1440,"",MOD(ROUND((Settings!$C$6+5*Settings!$C$7/1440)*1440,0),1440)/1440)</f>
        <v/>
      </c>
      <c r="Q14" s="8" t="n"/>
      <c r="R14" s="8" t="n"/>
      <c r="S14" s="8" t="n"/>
      <c r="T14" s="8" t="n"/>
      <c r="V14" s="37">
        <f>IF(5*Settings!$C$7&gt;=1440,"",MOD(ROUND((Settings!$C$6+5*Settings!$C$7/1440)*1440,0),1440)/1440)</f>
        <v/>
      </c>
      <c r="W14" s="8" t="n"/>
      <c r="X14" s="8" t="n"/>
      <c r="Y14" s="8" t="n"/>
      <c r="Z14" s="8" t="n"/>
      <c r="AB14" s="37">
        <f>IF(5*Settings!$C$7&gt;=1440,"",MOD(ROUND((Settings!$C$6+5*Settings!$C$7/1440)*1440,0),1440)/1440)</f>
        <v/>
      </c>
      <c r="AC14" s="8" t="n"/>
      <c r="AD14" s="8" t="n"/>
      <c r="AE14" s="8" t="n"/>
      <c r="AF14" s="8" t="n"/>
      <c r="AH14" s="37">
        <f>IF(5*Settings!$C$7&gt;=1440,"",MOD(ROUND((Settings!$C$6+5*Settings!$C$7/1440)*1440,0),1440)/1440)</f>
        <v/>
      </c>
      <c r="AI14" s="8" t="n"/>
      <c r="AJ14" s="8" t="n"/>
      <c r="AK14" s="8" t="n"/>
      <c r="AL14" s="8" t="n"/>
      <c r="AN14" s="37">
        <f>IF(5*Settings!$C$7&gt;=1440,"",MOD(ROUND((Settings!$C$6+5*Settings!$C$7/1440)*1440,0),1440)/1440)</f>
        <v/>
      </c>
      <c r="AO14" s="8" t="n"/>
      <c r="AP14" s="8" t="n"/>
      <c r="AQ14" s="8" t="n"/>
      <c r="AR14" s="8" t="n"/>
      <c r="AT14" s="37">
        <f>IF(5*Settings!$C$7&gt;=1440,"",MOD(ROUND((Settings!$C$6+5*Settings!$C$7/1440)*1440,0),1440)/1440)</f>
        <v/>
      </c>
      <c r="AU14" s="8" t="n"/>
      <c r="AV14" s="8" t="n"/>
      <c r="AW14" s="8" t="n"/>
      <c r="AX14" s="8" t="n"/>
      <c r="BA14" s="13">
        <f>IF(Settings!$B$45="","",Settings!$B$45)</f>
        <v/>
      </c>
      <c r="BB14" s="14" t="b">
        <v>0</v>
      </c>
      <c r="BC14" s="14" t="b">
        <v>0</v>
      </c>
      <c r="BD14" s="14" t="b">
        <v>0</v>
      </c>
      <c r="BE14" s="14" t="b">
        <v>0</v>
      </c>
      <c r="BF14" s="14" t="b">
        <v>0</v>
      </c>
      <c r="BG14" s="14" t="b">
        <v>0</v>
      </c>
      <c r="BH14" s="14" t="b">
        <v>0</v>
      </c>
      <c r="BI14" s="34">
        <f>IF($BA14="","",COUNTIF(BB14:BH14,TRUE)/7)</f>
        <v/>
      </c>
      <c r="BJ14" s="36">
        <f>IF(BI14="","",REPT("█",ROUND(BI14*10,0))&amp;REPT("░",10-ROUND(BI14*10,0)))</f>
        <v/>
      </c>
    </row>
    <row r="15">
      <c r="B15" s="14" t="b">
        <v>0</v>
      </c>
      <c r="C15" s="8" t="n"/>
      <c r="D15" s="8" t="n"/>
      <c r="E15" s="8" t="n"/>
      <c r="F15" s="8" t="n"/>
      <c r="G15" s="8" t="n"/>
      <c r="H15" s="8" t="n"/>
      <c r="J15" s="37">
        <f>IF(6*Settings!$C$7&gt;=1440,"",MOD(ROUND((Settings!$C$6+6*Settings!$C$7/1440)*1440,0),1440)/1440)</f>
        <v/>
      </c>
      <c r="K15" s="8" t="n"/>
      <c r="L15" s="8" t="n"/>
      <c r="M15" s="8" t="n"/>
      <c r="N15" s="8" t="n"/>
      <c r="P15" s="37">
        <f>IF(6*Settings!$C$7&gt;=1440,"",MOD(ROUND((Settings!$C$6+6*Settings!$C$7/1440)*1440,0),1440)/1440)</f>
        <v/>
      </c>
      <c r="Q15" s="8" t="n"/>
      <c r="R15" s="8" t="n"/>
      <c r="S15" s="8" t="n"/>
      <c r="T15" s="8" t="n"/>
      <c r="V15" s="37">
        <f>IF(6*Settings!$C$7&gt;=1440,"",MOD(ROUND((Settings!$C$6+6*Settings!$C$7/1440)*1440,0),1440)/1440)</f>
        <v/>
      </c>
      <c r="W15" s="8" t="n"/>
      <c r="X15" s="8" t="n"/>
      <c r="Y15" s="8" t="n"/>
      <c r="Z15" s="8" t="n"/>
      <c r="AB15" s="37">
        <f>IF(6*Settings!$C$7&gt;=1440,"",MOD(ROUND((Settings!$C$6+6*Settings!$C$7/1440)*1440,0),1440)/1440)</f>
        <v/>
      </c>
      <c r="AC15" s="8" t="n"/>
      <c r="AD15" s="8" t="n"/>
      <c r="AE15" s="8" t="n"/>
      <c r="AF15" s="8" t="n"/>
      <c r="AH15" s="37">
        <f>IF(6*Settings!$C$7&gt;=1440,"",MOD(ROUND((Settings!$C$6+6*Settings!$C$7/1440)*1440,0),1440)/1440)</f>
        <v/>
      </c>
      <c r="AI15" s="8" t="n"/>
      <c r="AJ15" s="8" t="n"/>
      <c r="AK15" s="8" t="n"/>
      <c r="AL15" s="8" t="n"/>
      <c r="AN15" s="37">
        <f>IF(6*Settings!$C$7&gt;=1440,"",MOD(ROUND((Settings!$C$6+6*Settings!$C$7/1440)*1440,0),1440)/1440)</f>
        <v/>
      </c>
      <c r="AO15" s="8" t="n"/>
      <c r="AP15" s="8" t="n"/>
      <c r="AQ15" s="8" t="n"/>
      <c r="AR15" s="8" t="n"/>
      <c r="AT15" s="37">
        <f>IF(6*Settings!$C$7&gt;=1440,"",MOD(ROUND((Settings!$C$6+6*Settings!$C$7/1440)*1440,0),1440)/1440)</f>
        <v/>
      </c>
      <c r="AU15" s="8" t="n"/>
      <c r="AV15" s="8" t="n"/>
      <c r="AW15" s="8" t="n"/>
      <c r="AX15" s="8" t="n"/>
      <c r="BA15" s="13">
        <f>IF(Settings!$B$46="","",Settings!$B$46)</f>
        <v/>
      </c>
      <c r="BB15" s="14" t="b">
        <v>0</v>
      </c>
      <c r="BC15" s="14" t="b">
        <v>0</v>
      </c>
      <c r="BD15" s="14" t="b">
        <v>0</v>
      </c>
      <c r="BE15" s="14" t="b">
        <v>0</v>
      </c>
      <c r="BF15" s="14" t="b">
        <v>0</v>
      </c>
      <c r="BG15" s="14" t="b">
        <v>0</v>
      </c>
      <c r="BH15" s="14" t="b">
        <v>0</v>
      </c>
      <c r="BI15" s="34">
        <f>IF($BA15="","",COUNTIF(BB15:BH15,TRUE)/7)</f>
        <v/>
      </c>
      <c r="BJ15" s="36">
        <f>IF(BI15="","",REPT("█",ROUND(BI15*10,0))&amp;REPT("░",10-ROUND(BI15*10,0)))</f>
        <v/>
      </c>
    </row>
    <row r="16">
      <c r="B16" s="14" t="b">
        <v>0</v>
      </c>
      <c r="C16" s="8" t="n"/>
      <c r="D16" s="8" t="n"/>
      <c r="E16" s="8" t="n"/>
      <c r="F16" s="8" t="n"/>
      <c r="G16" s="8" t="n"/>
      <c r="H16" s="8" t="n"/>
      <c r="J16" s="37">
        <f>IF(7*Settings!$C$7&gt;=1440,"",MOD(ROUND((Settings!$C$6+7*Settings!$C$7/1440)*1440,0),1440)/1440)</f>
        <v/>
      </c>
      <c r="K16" s="8" t="n"/>
      <c r="L16" s="8" t="n"/>
      <c r="M16" s="8" t="n"/>
      <c r="N16" s="8" t="n"/>
      <c r="P16" s="37">
        <f>IF(7*Settings!$C$7&gt;=1440,"",MOD(ROUND((Settings!$C$6+7*Settings!$C$7/1440)*1440,0),1440)/1440)</f>
        <v/>
      </c>
      <c r="Q16" s="8" t="n"/>
      <c r="R16" s="8" t="n"/>
      <c r="S16" s="8" t="n"/>
      <c r="T16" s="8" t="n"/>
      <c r="V16" s="37">
        <f>IF(7*Settings!$C$7&gt;=1440,"",MOD(ROUND((Settings!$C$6+7*Settings!$C$7/1440)*1440,0),1440)/1440)</f>
        <v/>
      </c>
      <c r="W16" s="8" t="n"/>
      <c r="X16" s="8" t="n"/>
      <c r="Y16" s="8" t="n"/>
      <c r="Z16" s="8" t="n"/>
      <c r="AB16" s="37">
        <f>IF(7*Settings!$C$7&gt;=1440,"",MOD(ROUND((Settings!$C$6+7*Settings!$C$7/1440)*1440,0),1440)/1440)</f>
        <v/>
      </c>
      <c r="AC16" s="8" t="n"/>
      <c r="AD16" s="8" t="n"/>
      <c r="AE16" s="8" t="n"/>
      <c r="AF16" s="8" t="n"/>
      <c r="AH16" s="37">
        <f>IF(7*Settings!$C$7&gt;=1440,"",MOD(ROUND((Settings!$C$6+7*Settings!$C$7/1440)*1440,0),1440)/1440)</f>
        <v/>
      </c>
      <c r="AI16" s="8" t="n"/>
      <c r="AJ16" s="8" t="n"/>
      <c r="AK16" s="8" t="n"/>
      <c r="AL16" s="8" t="n"/>
      <c r="AN16" s="37">
        <f>IF(7*Settings!$C$7&gt;=1440,"",MOD(ROUND((Settings!$C$6+7*Settings!$C$7/1440)*1440,0),1440)/1440)</f>
        <v/>
      </c>
      <c r="AO16" s="8" t="n"/>
      <c r="AP16" s="8" t="n"/>
      <c r="AQ16" s="8" t="n"/>
      <c r="AR16" s="8" t="n"/>
      <c r="AT16" s="37">
        <f>IF(7*Settings!$C$7&gt;=1440,"",MOD(ROUND((Settings!$C$6+7*Settings!$C$7/1440)*1440,0),1440)/1440)</f>
        <v/>
      </c>
      <c r="AU16" s="8" t="n"/>
      <c r="AV16" s="8" t="n"/>
      <c r="AW16" s="8" t="n"/>
      <c r="AX16" s="8" t="n"/>
      <c r="BA16" s="13">
        <f>IF(Settings!$B$47="","",Settings!$B$47)</f>
        <v/>
      </c>
      <c r="BB16" s="14" t="b">
        <v>0</v>
      </c>
      <c r="BC16" s="14" t="b">
        <v>0</v>
      </c>
      <c r="BD16" s="14" t="b">
        <v>0</v>
      </c>
      <c r="BE16" s="14" t="b">
        <v>0</v>
      </c>
      <c r="BF16" s="14" t="b">
        <v>0</v>
      </c>
      <c r="BG16" s="14" t="b">
        <v>0</v>
      </c>
      <c r="BH16" s="14" t="b">
        <v>0</v>
      </c>
      <c r="BI16" s="34">
        <f>IF($BA16="","",COUNTIF(BB16:BH16,TRUE)/7)</f>
        <v/>
      </c>
      <c r="BJ16" s="36">
        <f>IF(BI16="","",REPT("█",ROUND(BI16*10,0))&amp;REPT("░",10-ROUND(BI16*10,0)))</f>
        <v/>
      </c>
    </row>
    <row r="17">
      <c r="B17" s="14" t="b">
        <v>0</v>
      </c>
      <c r="C17" s="8" t="n"/>
      <c r="D17" s="8" t="n"/>
      <c r="E17" s="8" t="n"/>
      <c r="F17" s="8" t="n"/>
      <c r="G17" s="8" t="n"/>
      <c r="H17" s="8" t="n"/>
      <c r="J17" s="37">
        <f>IF(8*Settings!$C$7&gt;=1440,"",MOD(ROUND((Settings!$C$6+8*Settings!$C$7/1440)*1440,0),1440)/1440)</f>
        <v/>
      </c>
      <c r="K17" s="8" t="n"/>
      <c r="L17" s="8" t="n"/>
      <c r="M17" s="8" t="n"/>
      <c r="N17" s="8" t="n"/>
      <c r="P17" s="37">
        <f>IF(8*Settings!$C$7&gt;=1440,"",MOD(ROUND((Settings!$C$6+8*Settings!$C$7/1440)*1440,0),1440)/1440)</f>
        <v/>
      </c>
      <c r="Q17" s="8" t="n"/>
      <c r="R17" s="8" t="n"/>
      <c r="S17" s="8" t="n"/>
      <c r="T17" s="8" t="n"/>
      <c r="V17" s="37">
        <f>IF(8*Settings!$C$7&gt;=1440,"",MOD(ROUND((Settings!$C$6+8*Settings!$C$7/1440)*1440,0),1440)/1440)</f>
        <v/>
      </c>
      <c r="W17" s="8" t="n"/>
      <c r="X17" s="8" t="n"/>
      <c r="Y17" s="8" t="n"/>
      <c r="Z17" s="8" t="n"/>
      <c r="AB17" s="37">
        <f>IF(8*Settings!$C$7&gt;=1440,"",MOD(ROUND((Settings!$C$6+8*Settings!$C$7/1440)*1440,0),1440)/1440)</f>
        <v/>
      </c>
      <c r="AC17" s="8" t="n"/>
      <c r="AD17" s="8" t="n"/>
      <c r="AE17" s="8" t="n"/>
      <c r="AF17" s="8" t="n"/>
      <c r="AH17" s="37">
        <f>IF(8*Settings!$C$7&gt;=1440,"",MOD(ROUND((Settings!$C$6+8*Settings!$C$7/1440)*1440,0),1440)/1440)</f>
        <v/>
      </c>
      <c r="AI17" s="8" t="n"/>
      <c r="AJ17" s="8" t="n"/>
      <c r="AK17" s="8" t="n"/>
      <c r="AL17" s="8" t="n"/>
      <c r="AN17" s="37">
        <f>IF(8*Settings!$C$7&gt;=1440,"",MOD(ROUND((Settings!$C$6+8*Settings!$C$7/1440)*1440,0),1440)/1440)</f>
        <v/>
      </c>
      <c r="AO17" s="8" t="n"/>
      <c r="AP17" s="8" t="n"/>
      <c r="AQ17" s="8" t="n"/>
      <c r="AR17" s="8" t="n"/>
      <c r="AT17" s="37">
        <f>IF(8*Settings!$C$7&gt;=1440,"",MOD(ROUND((Settings!$C$6+8*Settings!$C$7/1440)*1440,0),1440)/1440)</f>
        <v/>
      </c>
      <c r="AU17" s="8" t="n"/>
      <c r="AV17" s="8" t="n"/>
      <c r="AW17" s="8" t="n"/>
      <c r="AX17" s="8" t="n"/>
      <c r="BA17" s="13">
        <f>IF(Settings!$B$48="","",Settings!$B$48)</f>
        <v/>
      </c>
      <c r="BB17" s="14" t="b">
        <v>0</v>
      </c>
      <c r="BC17" s="14" t="b">
        <v>0</v>
      </c>
      <c r="BD17" s="14" t="b">
        <v>0</v>
      </c>
      <c r="BE17" s="14" t="b">
        <v>0</v>
      </c>
      <c r="BF17" s="14" t="b">
        <v>0</v>
      </c>
      <c r="BG17" s="14" t="b">
        <v>0</v>
      </c>
      <c r="BH17" s="14" t="b">
        <v>0</v>
      </c>
      <c r="BI17" s="34">
        <f>IF($BA17="","",COUNTIF(BB17:BH17,TRUE)/7)</f>
        <v/>
      </c>
      <c r="BJ17" s="36">
        <f>IF(BI17="","",REPT("█",ROUND(BI17*10,0))&amp;REPT("░",10-ROUND(BI17*10,0)))</f>
        <v/>
      </c>
    </row>
    <row r="18">
      <c r="B18" s="14" t="b">
        <v>0</v>
      </c>
      <c r="C18" s="8" t="n"/>
      <c r="D18" s="8" t="n"/>
      <c r="E18" s="8" t="n"/>
      <c r="F18" s="8" t="n"/>
      <c r="G18" s="8" t="n"/>
      <c r="H18" s="8" t="n"/>
      <c r="J18" s="37">
        <f>IF(9*Settings!$C$7&gt;=1440,"",MOD(ROUND((Settings!$C$6+9*Settings!$C$7/1440)*1440,0),1440)/1440)</f>
        <v/>
      </c>
      <c r="K18" s="8" t="n"/>
      <c r="L18" s="8" t="n"/>
      <c r="M18" s="8" t="n"/>
      <c r="N18" s="8" t="n"/>
      <c r="P18" s="37">
        <f>IF(9*Settings!$C$7&gt;=1440,"",MOD(ROUND((Settings!$C$6+9*Settings!$C$7/1440)*1440,0),1440)/1440)</f>
        <v/>
      </c>
      <c r="Q18" s="8" t="n"/>
      <c r="R18" s="8" t="n"/>
      <c r="S18" s="8" t="n"/>
      <c r="T18" s="8" t="n"/>
      <c r="V18" s="37">
        <f>IF(9*Settings!$C$7&gt;=1440,"",MOD(ROUND((Settings!$C$6+9*Settings!$C$7/1440)*1440,0),1440)/1440)</f>
        <v/>
      </c>
      <c r="W18" s="8" t="n"/>
      <c r="X18" s="8" t="n"/>
      <c r="Y18" s="8" t="n"/>
      <c r="Z18" s="8" t="n"/>
      <c r="AB18" s="37">
        <f>IF(9*Settings!$C$7&gt;=1440,"",MOD(ROUND((Settings!$C$6+9*Settings!$C$7/1440)*1440,0),1440)/1440)</f>
        <v/>
      </c>
      <c r="AC18" s="8" t="n"/>
      <c r="AD18" s="8" t="n"/>
      <c r="AE18" s="8" t="n"/>
      <c r="AF18" s="8" t="n"/>
      <c r="AH18" s="37">
        <f>IF(9*Settings!$C$7&gt;=1440,"",MOD(ROUND((Settings!$C$6+9*Settings!$C$7/1440)*1440,0),1440)/1440)</f>
        <v/>
      </c>
      <c r="AI18" s="8" t="n"/>
      <c r="AJ18" s="8" t="n"/>
      <c r="AK18" s="8" t="n"/>
      <c r="AL18" s="8" t="n"/>
      <c r="AN18" s="37">
        <f>IF(9*Settings!$C$7&gt;=1440,"",MOD(ROUND((Settings!$C$6+9*Settings!$C$7/1440)*1440,0),1440)/1440)</f>
        <v/>
      </c>
      <c r="AO18" s="8" t="n"/>
      <c r="AP18" s="8" t="n"/>
      <c r="AQ18" s="8" t="n"/>
      <c r="AR18" s="8" t="n"/>
      <c r="AT18" s="37">
        <f>IF(9*Settings!$C$7&gt;=1440,"",MOD(ROUND((Settings!$C$6+9*Settings!$C$7/1440)*1440,0),1440)/1440)</f>
        <v/>
      </c>
      <c r="AU18" s="8" t="n"/>
      <c r="AV18" s="8" t="n"/>
      <c r="AW18" s="8" t="n"/>
      <c r="AX18" s="8" t="n"/>
      <c r="BA18" s="13">
        <f>IF(Settings!$B$49="","",Settings!$B$49)</f>
        <v/>
      </c>
      <c r="BB18" s="14" t="b">
        <v>0</v>
      </c>
      <c r="BC18" s="14" t="b">
        <v>0</v>
      </c>
      <c r="BD18" s="14" t="b">
        <v>0</v>
      </c>
      <c r="BE18" s="14" t="b">
        <v>0</v>
      </c>
      <c r="BF18" s="14" t="b">
        <v>0</v>
      </c>
      <c r="BG18" s="14" t="b">
        <v>0</v>
      </c>
      <c r="BH18" s="14" t="b">
        <v>0</v>
      </c>
      <c r="BI18" s="34">
        <f>IF($BA18="","",COUNTIF(BB18:BH18,TRUE)/7)</f>
        <v/>
      </c>
      <c r="BJ18" s="36">
        <f>IF(BI18="","",REPT("█",ROUND(BI18*10,0))&amp;REPT("░",10-ROUND(BI18*10,0)))</f>
        <v/>
      </c>
    </row>
    <row r="19">
      <c r="B19" s="14" t="b">
        <v>0</v>
      </c>
      <c r="C19" s="8" t="n"/>
      <c r="D19" s="8" t="n"/>
      <c r="E19" s="8" t="n"/>
      <c r="F19" s="8" t="n"/>
      <c r="G19" s="8" t="n"/>
      <c r="H19" s="8" t="n"/>
      <c r="J19" s="37">
        <f>IF(10*Settings!$C$7&gt;=1440,"",MOD(ROUND((Settings!$C$6+10*Settings!$C$7/1440)*1440,0),1440)/1440)</f>
        <v/>
      </c>
      <c r="K19" s="8" t="n"/>
      <c r="L19" s="8" t="n"/>
      <c r="M19" s="8" t="n"/>
      <c r="N19" s="8" t="n"/>
      <c r="P19" s="37">
        <f>IF(10*Settings!$C$7&gt;=1440,"",MOD(ROUND((Settings!$C$6+10*Settings!$C$7/1440)*1440,0),1440)/1440)</f>
        <v/>
      </c>
      <c r="Q19" s="8" t="n"/>
      <c r="R19" s="8" t="n"/>
      <c r="S19" s="8" t="n"/>
      <c r="T19" s="8" t="n"/>
      <c r="V19" s="37">
        <f>IF(10*Settings!$C$7&gt;=1440,"",MOD(ROUND((Settings!$C$6+10*Settings!$C$7/1440)*1440,0),1440)/1440)</f>
        <v/>
      </c>
      <c r="W19" s="8" t="n"/>
      <c r="X19" s="8" t="n"/>
      <c r="Y19" s="8" t="n"/>
      <c r="Z19" s="8" t="n"/>
      <c r="AB19" s="37">
        <f>IF(10*Settings!$C$7&gt;=1440,"",MOD(ROUND((Settings!$C$6+10*Settings!$C$7/1440)*1440,0),1440)/1440)</f>
        <v/>
      </c>
      <c r="AC19" s="8" t="n"/>
      <c r="AD19" s="8" t="n"/>
      <c r="AE19" s="8" t="n"/>
      <c r="AF19" s="8" t="n"/>
      <c r="AH19" s="37">
        <f>IF(10*Settings!$C$7&gt;=1440,"",MOD(ROUND((Settings!$C$6+10*Settings!$C$7/1440)*1440,0),1440)/1440)</f>
        <v/>
      </c>
      <c r="AI19" s="8" t="n"/>
      <c r="AJ19" s="8" t="n"/>
      <c r="AK19" s="8" t="n"/>
      <c r="AL19" s="8" t="n"/>
      <c r="AN19" s="37">
        <f>IF(10*Settings!$C$7&gt;=1440,"",MOD(ROUND((Settings!$C$6+10*Settings!$C$7/1440)*1440,0),1440)/1440)</f>
        <v/>
      </c>
      <c r="AO19" s="8" t="n"/>
      <c r="AP19" s="8" t="n"/>
      <c r="AQ19" s="8" t="n"/>
      <c r="AR19" s="8" t="n"/>
      <c r="AT19" s="37">
        <f>IF(10*Settings!$C$7&gt;=1440,"",MOD(ROUND((Settings!$C$6+10*Settings!$C$7/1440)*1440,0),1440)/1440)</f>
        <v/>
      </c>
      <c r="AU19" s="8" t="n"/>
      <c r="AV19" s="8" t="n"/>
      <c r="AW19" s="8" t="n"/>
      <c r="AX19" s="8" t="n"/>
      <c r="BA19" s="13">
        <f>IF(Settings!$B$50="","",Settings!$B$50)</f>
        <v/>
      </c>
      <c r="BB19" s="14" t="b">
        <v>0</v>
      </c>
      <c r="BC19" s="14" t="b">
        <v>0</v>
      </c>
      <c r="BD19" s="14" t="b">
        <v>0</v>
      </c>
      <c r="BE19" s="14" t="b">
        <v>0</v>
      </c>
      <c r="BF19" s="14" t="b">
        <v>0</v>
      </c>
      <c r="BG19" s="14" t="b">
        <v>0</v>
      </c>
      <c r="BH19" s="14" t="b">
        <v>0</v>
      </c>
      <c r="BI19" s="34">
        <f>IF($BA19="","",COUNTIF(BB19:BH19,TRUE)/7)</f>
        <v/>
      </c>
      <c r="BJ19" s="36">
        <f>IF(BI19="","",REPT("█",ROUND(BI19*10,0))&amp;REPT("░",10-ROUND(BI19*10,0)))</f>
        <v/>
      </c>
    </row>
    <row r="20">
      <c r="J20" s="37">
        <f>IF(11*Settings!$C$7&gt;=1440,"",MOD(ROUND((Settings!$C$6+11*Settings!$C$7/1440)*1440,0),1440)/1440)</f>
        <v/>
      </c>
      <c r="K20" s="8" t="n"/>
      <c r="L20" s="8" t="n"/>
      <c r="M20" s="8" t="n"/>
      <c r="N20" s="8" t="n"/>
      <c r="P20" s="37">
        <f>IF(11*Settings!$C$7&gt;=1440,"",MOD(ROUND((Settings!$C$6+11*Settings!$C$7/1440)*1440,0),1440)/1440)</f>
        <v/>
      </c>
      <c r="Q20" s="8" t="n"/>
      <c r="R20" s="8" t="n"/>
      <c r="S20" s="8" t="n"/>
      <c r="T20" s="8" t="n"/>
      <c r="V20" s="37">
        <f>IF(11*Settings!$C$7&gt;=1440,"",MOD(ROUND((Settings!$C$6+11*Settings!$C$7/1440)*1440,0),1440)/1440)</f>
        <v/>
      </c>
      <c r="W20" s="8" t="n"/>
      <c r="X20" s="8" t="n"/>
      <c r="Y20" s="8" t="n"/>
      <c r="Z20" s="8" t="n"/>
      <c r="AB20" s="37">
        <f>IF(11*Settings!$C$7&gt;=1440,"",MOD(ROUND((Settings!$C$6+11*Settings!$C$7/1440)*1440,0),1440)/1440)</f>
        <v/>
      </c>
      <c r="AC20" s="8" t="n"/>
      <c r="AD20" s="8" t="n"/>
      <c r="AE20" s="8" t="n"/>
      <c r="AF20" s="8" t="n"/>
      <c r="AH20" s="37">
        <f>IF(11*Settings!$C$7&gt;=1440,"",MOD(ROUND((Settings!$C$6+11*Settings!$C$7/1440)*1440,0),1440)/1440)</f>
        <v/>
      </c>
      <c r="AI20" s="8" t="n"/>
      <c r="AJ20" s="8" t="n"/>
      <c r="AK20" s="8" t="n"/>
      <c r="AL20" s="8" t="n"/>
      <c r="AN20" s="37">
        <f>IF(11*Settings!$C$7&gt;=1440,"",MOD(ROUND((Settings!$C$6+11*Settings!$C$7/1440)*1440,0),1440)/1440)</f>
        <v/>
      </c>
      <c r="AO20" s="8" t="n"/>
      <c r="AP20" s="8" t="n"/>
      <c r="AQ20" s="8" t="n"/>
      <c r="AR20" s="8" t="n"/>
      <c r="AT20" s="37">
        <f>IF(11*Settings!$C$7&gt;=1440,"",MOD(ROUND((Settings!$C$6+11*Settings!$C$7/1440)*1440,0),1440)/1440)</f>
        <v/>
      </c>
      <c r="AU20" s="8" t="n"/>
      <c r="AV20" s="8" t="n"/>
      <c r="AW20" s="8" t="n"/>
      <c r="AX20" s="8" t="n"/>
      <c r="BA20" s="13">
        <f>IF(Settings!$B$51="","",Settings!$B$51)</f>
        <v/>
      </c>
      <c r="BB20" s="14" t="b">
        <v>0</v>
      </c>
      <c r="BC20" s="14" t="b">
        <v>0</v>
      </c>
      <c r="BD20" s="14" t="b">
        <v>0</v>
      </c>
      <c r="BE20" s="14" t="b">
        <v>0</v>
      </c>
      <c r="BF20" s="14" t="b">
        <v>0</v>
      </c>
      <c r="BG20" s="14" t="b">
        <v>0</v>
      </c>
      <c r="BH20" s="14" t="b">
        <v>0</v>
      </c>
      <c r="BI20" s="34">
        <f>IF($BA20="","",COUNTIF(BB20:BH20,TRUE)/7)</f>
        <v/>
      </c>
      <c r="BJ20" s="36">
        <f>IF(BI20="","",REPT("█",ROUND(BI20*10,0))&amp;REPT("░",10-ROUND(BI20*10,0)))</f>
        <v/>
      </c>
    </row>
    <row r="21">
      <c r="J21" s="37">
        <f>IF(12*Settings!$C$7&gt;=1440,"",MOD(ROUND((Settings!$C$6+12*Settings!$C$7/1440)*1440,0),1440)/1440)</f>
        <v/>
      </c>
      <c r="K21" s="8" t="n"/>
      <c r="L21" s="8" t="n"/>
      <c r="M21" s="8" t="n"/>
      <c r="N21" s="8" t="n"/>
      <c r="P21" s="37">
        <f>IF(12*Settings!$C$7&gt;=1440,"",MOD(ROUND((Settings!$C$6+12*Settings!$C$7/1440)*1440,0),1440)/1440)</f>
        <v/>
      </c>
      <c r="Q21" s="8" t="n"/>
      <c r="R21" s="8" t="n"/>
      <c r="S21" s="8" t="n"/>
      <c r="T21" s="8" t="n"/>
      <c r="V21" s="37">
        <f>IF(12*Settings!$C$7&gt;=1440,"",MOD(ROUND((Settings!$C$6+12*Settings!$C$7/1440)*1440,0),1440)/1440)</f>
        <v/>
      </c>
      <c r="W21" s="8" t="n"/>
      <c r="X21" s="8" t="n"/>
      <c r="Y21" s="8" t="n"/>
      <c r="Z21" s="8" t="n"/>
      <c r="AB21" s="37">
        <f>IF(12*Settings!$C$7&gt;=1440,"",MOD(ROUND((Settings!$C$6+12*Settings!$C$7/1440)*1440,0),1440)/1440)</f>
        <v/>
      </c>
      <c r="AC21" s="8" t="n"/>
      <c r="AD21" s="8" t="n"/>
      <c r="AE21" s="8" t="n"/>
      <c r="AF21" s="8" t="n"/>
      <c r="AH21" s="37">
        <f>IF(12*Settings!$C$7&gt;=1440,"",MOD(ROUND((Settings!$C$6+12*Settings!$C$7/1440)*1440,0),1440)/1440)</f>
        <v/>
      </c>
      <c r="AI21" s="8" t="n"/>
      <c r="AJ21" s="8" t="n"/>
      <c r="AK21" s="8" t="n"/>
      <c r="AL21" s="8" t="n"/>
      <c r="AN21" s="37">
        <f>IF(12*Settings!$C$7&gt;=1440,"",MOD(ROUND((Settings!$C$6+12*Settings!$C$7/1440)*1440,0),1440)/1440)</f>
        <v/>
      </c>
      <c r="AO21" s="8" t="n"/>
      <c r="AP21" s="8" t="n"/>
      <c r="AQ21" s="8" t="n"/>
      <c r="AR21" s="8" t="n"/>
      <c r="AT21" s="37">
        <f>IF(12*Settings!$C$7&gt;=1440,"",MOD(ROUND((Settings!$C$6+12*Settings!$C$7/1440)*1440,0),1440)/1440)</f>
        <v/>
      </c>
      <c r="AU21" s="8" t="n"/>
      <c r="AV21" s="8" t="n"/>
      <c r="AW21" s="8" t="n"/>
      <c r="AX21" s="8" t="n"/>
      <c r="BA21" s="13">
        <f>IF(Settings!$B$52="","",Settings!$B$52)</f>
        <v/>
      </c>
      <c r="BB21" s="14" t="b">
        <v>0</v>
      </c>
      <c r="BC21" s="14" t="b">
        <v>0</v>
      </c>
      <c r="BD21" s="14" t="b">
        <v>0</v>
      </c>
      <c r="BE21" s="14" t="b">
        <v>0</v>
      </c>
      <c r="BF21" s="14" t="b">
        <v>0</v>
      </c>
      <c r="BG21" s="14" t="b">
        <v>0</v>
      </c>
      <c r="BH21" s="14" t="b">
        <v>0</v>
      </c>
      <c r="BI21" s="34">
        <f>IF($BA21="","",COUNTIF(BB21:BH21,TRUE)/7)</f>
        <v/>
      </c>
      <c r="BJ21" s="36">
        <f>IF(BI21="","",REPT("█",ROUND(BI21*10,0))&amp;REPT("░",10-ROUND(BI21*10,0)))</f>
        <v/>
      </c>
    </row>
    <row r="22">
      <c r="B22" s="6">
        <f>IF(Settings!$C$103="",Settings!$B$103,Settings!$C$103)</f>
        <v/>
      </c>
      <c r="C22" s="6" t="n"/>
      <c r="D22" s="6" t="n"/>
      <c r="E22" s="6" t="n"/>
      <c r="F22" s="6" t="n"/>
      <c r="G22" s="6" t="n"/>
      <c r="H22" s="21">
        <f>IFERROR(SUMPRODUCT((C23:C27&lt;&gt;"")*(B23:B27=TRUE))/SUMPRODUCT((C23:C27&lt;&gt;"")*1),0)</f>
        <v/>
      </c>
      <c r="J22" s="37">
        <f>IF(13*Settings!$C$7&gt;=1440,"",MOD(ROUND((Settings!$C$6+13*Settings!$C$7/1440)*1440,0),1440)/1440)</f>
        <v/>
      </c>
      <c r="K22" s="8" t="n"/>
      <c r="L22" s="8" t="n"/>
      <c r="M22" s="8" t="n"/>
      <c r="N22" s="8" t="n"/>
      <c r="P22" s="37">
        <f>IF(13*Settings!$C$7&gt;=1440,"",MOD(ROUND((Settings!$C$6+13*Settings!$C$7/1440)*1440,0),1440)/1440)</f>
        <v/>
      </c>
      <c r="Q22" s="8" t="n"/>
      <c r="R22" s="8" t="n"/>
      <c r="S22" s="8" t="n"/>
      <c r="T22" s="8" t="n"/>
      <c r="V22" s="37">
        <f>IF(13*Settings!$C$7&gt;=1440,"",MOD(ROUND((Settings!$C$6+13*Settings!$C$7/1440)*1440,0),1440)/1440)</f>
        <v/>
      </c>
      <c r="W22" s="8" t="n"/>
      <c r="X22" s="8" t="n"/>
      <c r="Y22" s="8" t="n"/>
      <c r="Z22" s="8" t="n"/>
      <c r="AB22" s="37">
        <f>IF(13*Settings!$C$7&gt;=1440,"",MOD(ROUND((Settings!$C$6+13*Settings!$C$7/1440)*1440,0),1440)/1440)</f>
        <v/>
      </c>
      <c r="AC22" s="8" t="n"/>
      <c r="AD22" s="8" t="n"/>
      <c r="AE22" s="8" t="n"/>
      <c r="AF22" s="8" t="n"/>
      <c r="AH22" s="37">
        <f>IF(13*Settings!$C$7&gt;=1440,"",MOD(ROUND((Settings!$C$6+13*Settings!$C$7/1440)*1440,0),1440)/1440)</f>
        <v/>
      </c>
      <c r="AI22" s="8" t="n"/>
      <c r="AJ22" s="8" t="n"/>
      <c r="AK22" s="8" t="n"/>
      <c r="AL22" s="8" t="n"/>
      <c r="AN22" s="37">
        <f>IF(13*Settings!$C$7&gt;=1440,"",MOD(ROUND((Settings!$C$6+13*Settings!$C$7/1440)*1440,0),1440)/1440)</f>
        <v/>
      </c>
      <c r="AO22" s="8" t="n"/>
      <c r="AP22" s="8" t="n"/>
      <c r="AQ22" s="8" t="n"/>
      <c r="AR22" s="8" t="n"/>
      <c r="AT22" s="37">
        <f>IF(13*Settings!$C$7&gt;=1440,"",MOD(ROUND((Settings!$C$6+13*Settings!$C$7/1440)*1440,0),1440)/1440)</f>
        <v/>
      </c>
      <c r="AU22" s="8" t="n"/>
      <c r="AV22" s="8" t="n"/>
      <c r="AW22" s="8" t="n"/>
      <c r="AX22" s="8" t="n"/>
      <c r="BA22" s="13">
        <f>IF(Settings!$B$53="","",Settings!$B$53)</f>
        <v/>
      </c>
      <c r="BB22" s="14" t="b">
        <v>0</v>
      </c>
      <c r="BC22" s="14" t="b">
        <v>0</v>
      </c>
      <c r="BD22" s="14" t="b">
        <v>0</v>
      </c>
      <c r="BE22" s="14" t="b">
        <v>0</v>
      </c>
      <c r="BF22" s="14" t="b">
        <v>0</v>
      </c>
      <c r="BG22" s="14" t="b">
        <v>0</v>
      </c>
      <c r="BH22" s="14" t="b">
        <v>0</v>
      </c>
      <c r="BI22" s="34">
        <f>IF($BA22="","",COUNTIF(BB22:BH22,TRUE)/7)</f>
        <v/>
      </c>
      <c r="BJ22" s="36">
        <f>IF(BI22="","",REPT("█",ROUND(BI22*10,0))&amp;REPT("░",10-ROUND(BI22*10,0)))</f>
        <v/>
      </c>
    </row>
    <row r="23">
      <c r="B23" s="14" t="b">
        <v>0</v>
      </c>
      <c r="C23" s="8" t="n"/>
      <c r="D23" s="8" t="n"/>
      <c r="E23" s="8" t="n"/>
      <c r="F23" s="8" t="n"/>
      <c r="G23" s="8" t="n"/>
      <c r="H23" s="8" t="n"/>
      <c r="J23" s="37">
        <f>IF(14*Settings!$C$7&gt;=1440,"",MOD(ROUND((Settings!$C$6+14*Settings!$C$7/1440)*1440,0),1440)/1440)</f>
        <v/>
      </c>
      <c r="K23" s="8" t="n"/>
      <c r="L23" s="8" t="n"/>
      <c r="M23" s="8" t="n"/>
      <c r="N23" s="8" t="n"/>
      <c r="P23" s="37">
        <f>IF(14*Settings!$C$7&gt;=1440,"",MOD(ROUND((Settings!$C$6+14*Settings!$C$7/1440)*1440,0),1440)/1440)</f>
        <v/>
      </c>
      <c r="Q23" s="8" t="n"/>
      <c r="R23" s="8" t="n"/>
      <c r="S23" s="8" t="n"/>
      <c r="T23" s="8" t="n"/>
      <c r="V23" s="37">
        <f>IF(14*Settings!$C$7&gt;=1440,"",MOD(ROUND((Settings!$C$6+14*Settings!$C$7/1440)*1440,0),1440)/1440)</f>
        <v/>
      </c>
      <c r="W23" s="8" t="n"/>
      <c r="X23" s="8" t="n"/>
      <c r="Y23" s="8" t="n"/>
      <c r="Z23" s="8" t="n"/>
      <c r="AB23" s="37">
        <f>IF(14*Settings!$C$7&gt;=1440,"",MOD(ROUND((Settings!$C$6+14*Settings!$C$7/1440)*1440,0),1440)/1440)</f>
        <v/>
      </c>
      <c r="AC23" s="8" t="n"/>
      <c r="AD23" s="8" t="n"/>
      <c r="AE23" s="8" t="n"/>
      <c r="AF23" s="8" t="n"/>
      <c r="AH23" s="37">
        <f>IF(14*Settings!$C$7&gt;=1440,"",MOD(ROUND((Settings!$C$6+14*Settings!$C$7/1440)*1440,0),1440)/1440)</f>
        <v/>
      </c>
      <c r="AI23" s="8" t="n"/>
      <c r="AJ23" s="8" t="n"/>
      <c r="AK23" s="8" t="n"/>
      <c r="AL23" s="8" t="n"/>
      <c r="AN23" s="37">
        <f>IF(14*Settings!$C$7&gt;=1440,"",MOD(ROUND((Settings!$C$6+14*Settings!$C$7/1440)*1440,0),1440)/1440)</f>
        <v/>
      </c>
      <c r="AO23" s="8" t="n"/>
      <c r="AP23" s="8" t="n"/>
      <c r="AQ23" s="8" t="n"/>
      <c r="AR23" s="8" t="n"/>
      <c r="AT23" s="37">
        <f>IF(14*Settings!$C$7&gt;=1440,"",MOD(ROUND((Settings!$C$6+14*Settings!$C$7/1440)*1440,0),1440)/1440)</f>
        <v/>
      </c>
      <c r="AU23" s="8" t="n"/>
      <c r="AV23" s="8" t="n"/>
      <c r="AW23" s="8" t="n"/>
      <c r="AX23" s="8" t="n"/>
      <c r="BA23" s="13">
        <f>IF(Settings!$B$54="","",Settings!$B$54)</f>
        <v/>
      </c>
      <c r="BB23" s="14" t="b">
        <v>0</v>
      </c>
      <c r="BC23" s="14" t="b">
        <v>0</v>
      </c>
      <c r="BD23" s="14" t="b">
        <v>0</v>
      </c>
      <c r="BE23" s="14" t="b">
        <v>0</v>
      </c>
      <c r="BF23" s="14" t="b">
        <v>0</v>
      </c>
      <c r="BG23" s="14" t="b">
        <v>0</v>
      </c>
      <c r="BH23" s="14" t="b">
        <v>0</v>
      </c>
      <c r="BI23" s="34">
        <f>IF($BA23="","",COUNTIF(BB23:BH23,TRUE)/7)</f>
        <v/>
      </c>
      <c r="BJ23" s="36">
        <f>IF(BI23="","",REPT("█",ROUND(BI23*10,0))&amp;REPT("░",10-ROUND(BI23*10,0)))</f>
        <v/>
      </c>
    </row>
    <row r="24">
      <c r="B24" s="14" t="b">
        <v>0</v>
      </c>
      <c r="C24" s="8" t="n"/>
      <c r="D24" s="8" t="n"/>
      <c r="E24" s="8" t="n"/>
      <c r="F24" s="8" t="n"/>
      <c r="G24" s="8" t="n"/>
      <c r="H24" s="8" t="n"/>
      <c r="J24" s="37">
        <f>IF(15*Settings!$C$7&gt;=1440,"",MOD(ROUND((Settings!$C$6+15*Settings!$C$7/1440)*1440,0),1440)/1440)</f>
        <v/>
      </c>
      <c r="K24" s="8" t="n"/>
      <c r="L24" s="8" t="n"/>
      <c r="M24" s="8" t="n"/>
      <c r="N24" s="8" t="n"/>
      <c r="P24" s="37">
        <f>IF(15*Settings!$C$7&gt;=1440,"",MOD(ROUND((Settings!$C$6+15*Settings!$C$7/1440)*1440,0),1440)/1440)</f>
        <v/>
      </c>
      <c r="Q24" s="8" t="n"/>
      <c r="R24" s="8" t="n"/>
      <c r="S24" s="8" t="n"/>
      <c r="T24" s="8" t="n"/>
      <c r="V24" s="37">
        <f>IF(15*Settings!$C$7&gt;=1440,"",MOD(ROUND((Settings!$C$6+15*Settings!$C$7/1440)*1440,0),1440)/1440)</f>
        <v/>
      </c>
      <c r="W24" s="8" t="n"/>
      <c r="X24" s="8" t="n"/>
      <c r="Y24" s="8" t="n"/>
      <c r="Z24" s="8" t="n"/>
      <c r="AB24" s="37">
        <f>IF(15*Settings!$C$7&gt;=1440,"",MOD(ROUND((Settings!$C$6+15*Settings!$C$7/1440)*1440,0),1440)/1440)</f>
        <v/>
      </c>
      <c r="AC24" s="8" t="n"/>
      <c r="AD24" s="8" t="n"/>
      <c r="AE24" s="8" t="n"/>
      <c r="AF24" s="8" t="n"/>
      <c r="AH24" s="37">
        <f>IF(15*Settings!$C$7&gt;=1440,"",MOD(ROUND((Settings!$C$6+15*Settings!$C$7/1440)*1440,0),1440)/1440)</f>
        <v/>
      </c>
      <c r="AI24" s="8" t="n"/>
      <c r="AJ24" s="8" t="n"/>
      <c r="AK24" s="8" t="n"/>
      <c r="AL24" s="8" t="n"/>
      <c r="AN24" s="37">
        <f>IF(15*Settings!$C$7&gt;=1440,"",MOD(ROUND((Settings!$C$6+15*Settings!$C$7/1440)*1440,0),1440)/1440)</f>
        <v/>
      </c>
      <c r="AO24" s="8" t="n"/>
      <c r="AP24" s="8" t="n"/>
      <c r="AQ24" s="8" t="n"/>
      <c r="AR24" s="8" t="n"/>
      <c r="AT24" s="37">
        <f>IF(15*Settings!$C$7&gt;=1440,"",MOD(ROUND((Settings!$C$6+15*Settings!$C$7/1440)*1440,0),1440)/1440)</f>
        <v/>
      </c>
      <c r="AU24" s="8" t="n"/>
      <c r="AV24" s="8" t="n"/>
      <c r="AW24" s="8" t="n"/>
      <c r="AX24" s="8" t="n"/>
      <c r="BA24" s="13">
        <f>IF(Settings!$B$55="","",Settings!$B$55)</f>
        <v/>
      </c>
      <c r="BB24" s="14" t="b">
        <v>0</v>
      </c>
      <c r="BC24" s="14" t="b">
        <v>0</v>
      </c>
      <c r="BD24" s="14" t="b">
        <v>0</v>
      </c>
      <c r="BE24" s="14" t="b">
        <v>0</v>
      </c>
      <c r="BF24" s="14" t="b">
        <v>0</v>
      </c>
      <c r="BG24" s="14" t="b">
        <v>0</v>
      </c>
      <c r="BH24" s="14" t="b">
        <v>0</v>
      </c>
      <c r="BI24" s="34">
        <f>IF($BA24="","",COUNTIF(BB24:BH24,TRUE)/7)</f>
        <v/>
      </c>
      <c r="BJ24" s="36">
        <f>IF(BI24="","",REPT("█",ROUND(BI24*10,0))&amp;REPT("░",10-ROUND(BI24*10,0)))</f>
        <v/>
      </c>
    </row>
    <row r="25">
      <c r="B25" s="14" t="b">
        <v>0</v>
      </c>
      <c r="C25" s="8" t="n"/>
      <c r="D25" s="8" t="n"/>
      <c r="E25" s="8" t="n"/>
      <c r="F25" s="8" t="n"/>
      <c r="G25" s="8" t="n"/>
      <c r="H25" s="8" t="n"/>
      <c r="J25" s="37">
        <f>IF(16*Settings!$C$7&gt;=1440,"",MOD(ROUND((Settings!$C$6+16*Settings!$C$7/1440)*1440,0),1440)/1440)</f>
        <v/>
      </c>
      <c r="K25" s="8" t="n"/>
      <c r="L25" s="8" t="n"/>
      <c r="M25" s="8" t="n"/>
      <c r="N25" s="8" t="n"/>
      <c r="P25" s="37">
        <f>IF(16*Settings!$C$7&gt;=1440,"",MOD(ROUND((Settings!$C$6+16*Settings!$C$7/1440)*1440,0),1440)/1440)</f>
        <v/>
      </c>
      <c r="Q25" s="8" t="n"/>
      <c r="R25" s="8" t="n"/>
      <c r="S25" s="8" t="n"/>
      <c r="T25" s="8" t="n"/>
      <c r="V25" s="37">
        <f>IF(16*Settings!$C$7&gt;=1440,"",MOD(ROUND((Settings!$C$6+16*Settings!$C$7/1440)*1440,0),1440)/1440)</f>
        <v/>
      </c>
      <c r="W25" s="8" t="n"/>
      <c r="X25" s="8" t="n"/>
      <c r="Y25" s="8" t="n"/>
      <c r="Z25" s="8" t="n"/>
      <c r="AB25" s="37">
        <f>IF(16*Settings!$C$7&gt;=1440,"",MOD(ROUND((Settings!$C$6+16*Settings!$C$7/1440)*1440,0),1440)/1440)</f>
        <v/>
      </c>
      <c r="AC25" s="8" t="n"/>
      <c r="AD25" s="8" t="n"/>
      <c r="AE25" s="8" t="n"/>
      <c r="AF25" s="8" t="n"/>
      <c r="AH25" s="37">
        <f>IF(16*Settings!$C$7&gt;=1440,"",MOD(ROUND((Settings!$C$6+16*Settings!$C$7/1440)*1440,0),1440)/1440)</f>
        <v/>
      </c>
      <c r="AI25" s="8" t="n"/>
      <c r="AJ25" s="8" t="n"/>
      <c r="AK25" s="8" t="n"/>
      <c r="AL25" s="8" t="n"/>
      <c r="AN25" s="37">
        <f>IF(16*Settings!$C$7&gt;=1440,"",MOD(ROUND((Settings!$C$6+16*Settings!$C$7/1440)*1440,0),1440)/1440)</f>
        <v/>
      </c>
      <c r="AO25" s="8" t="n"/>
      <c r="AP25" s="8" t="n"/>
      <c r="AQ25" s="8" t="n"/>
      <c r="AR25" s="8" t="n"/>
      <c r="AT25" s="37">
        <f>IF(16*Settings!$C$7&gt;=1440,"",MOD(ROUND((Settings!$C$6+16*Settings!$C$7/1440)*1440,0),1440)/1440)</f>
        <v/>
      </c>
      <c r="AU25" s="8" t="n"/>
      <c r="AV25" s="8" t="n"/>
      <c r="AW25" s="8" t="n"/>
      <c r="AX25" s="8" t="n"/>
      <c r="BA25" s="13">
        <f>IF(Settings!$B$56="","",Settings!$B$56)</f>
        <v/>
      </c>
      <c r="BB25" s="14" t="b">
        <v>0</v>
      </c>
      <c r="BC25" s="14" t="b">
        <v>0</v>
      </c>
      <c r="BD25" s="14" t="b">
        <v>0</v>
      </c>
      <c r="BE25" s="14" t="b">
        <v>0</v>
      </c>
      <c r="BF25" s="14" t="b">
        <v>0</v>
      </c>
      <c r="BG25" s="14" t="b">
        <v>0</v>
      </c>
      <c r="BH25" s="14" t="b">
        <v>0</v>
      </c>
      <c r="BI25" s="34">
        <f>IF($BA25="","",COUNTIF(BB25:BH25,TRUE)/7)</f>
        <v/>
      </c>
      <c r="BJ25" s="36">
        <f>IF(BI25="","",REPT("█",ROUND(BI25*10,0))&amp;REPT("░",10-ROUND(BI25*10,0)))</f>
        <v/>
      </c>
    </row>
    <row r="26">
      <c r="B26" s="14" t="b">
        <v>0</v>
      </c>
      <c r="C26" s="8" t="n"/>
      <c r="D26" s="8" t="n"/>
      <c r="E26" s="8" t="n"/>
      <c r="F26" s="8" t="n"/>
      <c r="G26" s="8" t="n"/>
      <c r="H26" s="8" t="n"/>
      <c r="J26" s="37">
        <f>IF(17*Settings!$C$7&gt;=1440,"",MOD(ROUND((Settings!$C$6+17*Settings!$C$7/1440)*1440,0),1440)/1440)</f>
        <v/>
      </c>
      <c r="K26" s="8" t="n"/>
      <c r="L26" s="8" t="n"/>
      <c r="M26" s="8" t="n"/>
      <c r="N26" s="8" t="n"/>
      <c r="P26" s="37">
        <f>IF(17*Settings!$C$7&gt;=1440,"",MOD(ROUND((Settings!$C$6+17*Settings!$C$7/1440)*1440,0),1440)/1440)</f>
        <v/>
      </c>
      <c r="Q26" s="8" t="n"/>
      <c r="R26" s="8" t="n"/>
      <c r="S26" s="8" t="n"/>
      <c r="T26" s="8" t="n"/>
      <c r="V26" s="37">
        <f>IF(17*Settings!$C$7&gt;=1440,"",MOD(ROUND((Settings!$C$6+17*Settings!$C$7/1440)*1440,0),1440)/1440)</f>
        <v/>
      </c>
      <c r="W26" s="8" t="n"/>
      <c r="X26" s="8" t="n"/>
      <c r="Y26" s="8" t="n"/>
      <c r="Z26" s="8" t="n"/>
      <c r="AB26" s="37">
        <f>IF(17*Settings!$C$7&gt;=1440,"",MOD(ROUND((Settings!$C$6+17*Settings!$C$7/1440)*1440,0),1440)/1440)</f>
        <v/>
      </c>
      <c r="AC26" s="8" t="n"/>
      <c r="AD26" s="8" t="n"/>
      <c r="AE26" s="8" t="n"/>
      <c r="AF26" s="8" t="n"/>
      <c r="AH26" s="37">
        <f>IF(17*Settings!$C$7&gt;=1440,"",MOD(ROUND((Settings!$C$6+17*Settings!$C$7/1440)*1440,0),1440)/1440)</f>
        <v/>
      </c>
      <c r="AI26" s="8" t="n"/>
      <c r="AJ26" s="8" t="n"/>
      <c r="AK26" s="8" t="n"/>
      <c r="AL26" s="8" t="n"/>
      <c r="AN26" s="37">
        <f>IF(17*Settings!$C$7&gt;=1440,"",MOD(ROUND((Settings!$C$6+17*Settings!$C$7/1440)*1440,0),1440)/1440)</f>
        <v/>
      </c>
      <c r="AO26" s="8" t="n"/>
      <c r="AP26" s="8" t="n"/>
      <c r="AQ26" s="8" t="n"/>
      <c r="AR26" s="8" t="n"/>
      <c r="AT26" s="37">
        <f>IF(17*Settings!$C$7&gt;=1440,"",MOD(ROUND((Settings!$C$6+17*Settings!$C$7/1440)*1440,0),1440)/1440)</f>
        <v/>
      </c>
      <c r="AU26" s="8" t="n"/>
      <c r="AV26" s="8" t="n"/>
      <c r="AW26" s="8" t="n"/>
      <c r="AX26" s="8" t="n"/>
      <c r="BA26" s="13">
        <f>IF(Settings!$B$57="","",Settings!$B$57)</f>
        <v/>
      </c>
      <c r="BB26" s="14" t="b">
        <v>0</v>
      </c>
      <c r="BC26" s="14" t="b">
        <v>0</v>
      </c>
      <c r="BD26" s="14" t="b">
        <v>0</v>
      </c>
      <c r="BE26" s="14" t="b">
        <v>0</v>
      </c>
      <c r="BF26" s="14" t="b">
        <v>0</v>
      </c>
      <c r="BG26" s="14" t="b">
        <v>0</v>
      </c>
      <c r="BH26" s="14" t="b">
        <v>0</v>
      </c>
      <c r="BI26" s="34">
        <f>IF($BA26="","",COUNTIF(BB26:BH26,TRUE)/7)</f>
        <v/>
      </c>
      <c r="BJ26" s="36">
        <f>IF(BI26="","",REPT("█",ROUND(BI26*10,0))&amp;REPT("░",10-ROUND(BI26*10,0)))</f>
        <v/>
      </c>
    </row>
    <row r="27">
      <c r="B27" s="14" t="b">
        <v>0</v>
      </c>
      <c r="C27" s="8" t="n"/>
      <c r="D27" s="8" t="n"/>
      <c r="E27" s="8" t="n"/>
      <c r="F27" s="8" t="n"/>
      <c r="G27" s="8" t="n"/>
      <c r="H27" s="8" t="n"/>
      <c r="J27" s="37">
        <f>IF(18*Settings!$C$7&gt;=1440,"",MOD(ROUND((Settings!$C$6+18*Settings!$C$7/1440)*1440,0),1440)/1440)</f>
        <v/>
      </c>
      <c r="K27" s="8" t="n"/>
      <c r="L27" s="8" t="n"/>
      <c r="M27" s="8" t="n"/>
      <c r="N27" s="8" t="n"/>
      <c r="P27" s="37">
        <f>IF(18*Settings!$C$7&gt;=1440,"",MOD(ROUND((Settings!$C$6+18*Settings!$C$7/1440)*1440,0),1440)/1440)</f>
        <v/>
      </c>
      <c r="Q27" s="8" t="n"/>
      <c r="R27" s="8" t="n"/>
      <c r="S27" s="8" t="n"/>
      <c r="T27" s="8" t="n"/>
      <c r="V27" s="37">
        <f>IF(18*Settings!$C$7&gt;=1440,"",MOD(ROUND((Settings!$C$6+18*Settings!$C$7/1440)*1440,0),1440)/1440)</f>
        <v/>
      </c>
      <c r="W27" s="8" t="n"/>
      <c r="X27" s="8" t="n"/>
      <c r="Y27" s="8" t="n"/>
      <c r="Z27" s="8" t="n"/>
      <c r="AB27" s="37">
        <f>IF(18*Settings!$C$7&gt;=1440,"",MOD(ROUND((Settings!$C$6+18*Settings!$C$7/1440)*1440,0),1440)/1440)</f>
        <v/>
      </c>
      <c r="AC27" s="8" t="n"/>
      <c r="AD27" s="8" t="n"/>
      <c r="AE27" s="8" t="n"/>
      <c r="AF27" s="8" t="n"/>
      <c r="AH27" s="37">
        <f>IF(18*Settings!$C$7&gt;=1440,"",MOD(ROUND((Settings!$C$6+18*Settings!$C$7/1440)*1440,0),1440)/1440)</f>
        <v/>
      </c>
      <c r="AI27" s="8" t="n"/>
      <c r="AJ27" s="8" t="n"/>
      <c r="AK27" s="8" t="n"/>
      <c r="AL27" s="8" t="n"/>
      <c r="AN27" s="37">
        <f>IF(18*Settings!$C$7&gt;=1440,"",MOD(ROUND((Settings!$C$6+18*Settings!$C$7/1440)*1440,0),1440)/1440)</f>
        <v/>
      </c>
      <c r="AO27" s="8" t="n"/>
      <c r="AP27" s="8" t="n"/>
      <c r="AQ27" s="8" t="n"/>
      <c r="AR27" s="8" t="n"/>
      <c r="AT27" s="37">
        <f>IF(18*Settings!$C$7&gt;=1440,"",MOD(ROUND((Settings!$C$6+18*Settings!$C$7/1440)*1440,0),1440)/1440)</f>
        <v/>
      </c>
      <c r="AU27" s="8" t="n"/>
      <c r="AV27" s="8" t="n"/>
      <c r="AW27" s="8" t="n"/>
      <c r="AX27" s="8" t="n"/>
      <c r="BA27" s="38" t="inlineStr">
        <is>
          <t>Daily completion</t>
        </is>
      </c>
      <c r="BB27" s="34">
        <f>IFERROR(SUMPRODUCT(($BA$6:$BA$26&lt;&gt;"")*(BB$6:BB$26=TRUE))/SUMPRODUCT(($BA$6:$BA$26&lt;&gt;"")*1),0)</f>
        <v/>
      </c>
      <c r="BC27" s="34">
        <f>IFERROR(SUMPRODUCT(($BA$6:$BA$26&lt;&gt;"")*(BC$6:BC$26=TRUE))/SUMPRODUCT(($BA$6:$BA$26&lt;&gt;"")*1),0)</f>
        <v/>
      </c>
      <c r="BD27" s="34">
        <f>IFERROR(SUMPRODUCT(($BA$6:$BA$26&lt;&gt;"")*(BD$6:BD$26=TRUE))/SUMPRODUCT(($BA$6:$BA$26&lt;&gt;"")*1),0)</f>
        <v/>
      </c>
      <c r="BE27" s="34">
        <f>IFERROR(SUMPRODUCT(($BA$6:$BA$26&lt;&gt;"")*(BE$6:BE$26=TRUE))/SUMPRODUCT(($BA$6:$BA$26&lt;&gt;"")*1),0)</f>
        <v/>
      </c>
      <c r="BF27" s="34">
        <f>IFERROR(SUMPRODUCT(($BA$6:$BA$26&lt;&gt;"")*(BF$6:BF$26=TRUE))/SUMPRODUCT(($BA$6:$BA$26&lt;&gt;"")*1),0)</f>
        <v/>
      </c>
      <c r="BG27" s="34">
        <f>IFERROR(SUMPRODUCT(($BA$6:$BA$26&lt;&gt;"")*(BG$6:BG$26=TRUE))/SUMPRODUCT(($BA$6:$BA$26&lt;&gt;"")*1),0)</f>
        <v/>
      </c>
      <c r="BH27" s="34">
        <f>IFERROR(SUMPRODUCT(($BA$6:$BA$26&lt;&gt;"")*(BH$6:BH$26=TRUE))/SUMPRODUCT(($BA$6:$BA$26&lt;&gt;"")*1),0)</f>
        <v/>
      </c>
      <c r="BI27" s="34">
        <f>IFERROR(SUMPRODUCT(($BA$6:$BA$26&lt;&gt;"")*($BB$6:$BH$26=TRUE))/(SUMPRODUCT(($BA$6:$BA$26&lt;&gt;"")*1)*7),0)</f>
        <v/>
      </c>
      <c r="BJ27" s="36">
        <f>IF(BI27="","",REPT("█",ROUND(BI27*10,0))&amp;REPT("░",10-ROUND(BI27*10,0)))</f>
        <v/>
      </c>
    </row>
    <row r="28">
      <c r="J28" s="37">
        <f>IF(19*Settings!$C$7&gt;=1440,"",MOD(ROUND((Settings!$C$6+19*Settings!$C$7/1440)*1440,0),1440)/1440)</f>
        <v/>
      </c>
      <c r="K28" s="8" t="n"/>
      <c r="L28" s="8" t="n"/>
      <c r="M28" s="8" t="n"/>
      <c r="N28" s="8" t="n"/>
      <c r="P28" s="37">
        <f>IF(19*Settings!$C$7&gt;=1440,"",MOD(ROUND((Settings!$C$6+19*Settings!$C$7/1440)*1440,0),1440)/1440)</f>
        <v/>
      </c>
      <c r="Q28" s="8" t="n"/>
      <c r="R28" s="8" t="n"/>
      <c r="S28" s="8" t="n"/>
      <c r="T28" s="8" t="n"/>
      <c r="V28" s="37">
        <f>IF(19*Settings!$C$7&gt;=1440,"",MOD(ROUND((Settings!$C$6+19*Settings!$C$7/1440)*1440,0),1440)/1440)</f>
        <v/>
      </c>
      <c r="W28" s="8" t="n"/>
      <c r="X28" s="8" t="n"/>
      <c r="Y28" s="8" t="n"/>
      <c r="Z28" s="8" t="n"/>
      <c r="AB28" s="37">
        <f>IF(19*Settings!$C$7&gt;=1440,"",MOD(ROUND((Settings!$C$6+19*Settings!$C$7/1440)*1440,0),1440)/1440)</f>
        <v/>
      </c>
      <c r="AC28" s="8" t="n"/>
      <c r="AD28" s="8" t="n"/>
      <c r="AE28" s="8" t="n"/>
      <c r="AF28" s="8" t="n"/>
      <c r="AH28" s="37">
        <f>IF(19*Settings!$C$7&gt;=1440,"",MOD(ROUND((Settings!$C$6+19*Settings!$C$7/1440)*1440,0),1440)/1440)</f>
        <v/>
      </c>
      <c r="AI28" s="8" t="n"/>
      <c r="AJ28" s="8" t="n"/>
      <c r="AK28" s="8" t="n"/>
      <c r="AL28" s="8" t="n"/>
      <c r="AN28" s="37">
        <f>IF(19*Settings!$C$7&gt;=1440,"",MOD(ROUND((Settings!$C$6+19*Settings!$C$7/1440)*1440,0),1440)/1440)</f>
        <v/>
      </c>
      <c r="AO28" s="8" t="n"/>
      <c r="AP28" s="8" t="n"/>
      <c r="AQ28" s="8" t="n"/>
      <c r="AR28" s="8" t="n"/>
      <c r="AT28" s="37">
        <f>IF(19*Settings!$C$7&gt;=1440,"",MOD(ROUND((Settings!$C$6+19*Settings!$C$7/1440)*1440,0),1440)/1440)</f>
        <v/>
      </c>
      <c r="AU28" s="8" t="n"/>
      <c r="AV28" s="8" t="n"/>
      <c r="AW28" s="8" t="n"/>
      <c r="AX28" s="8" t="n"/>
    </row>
    <row r="29">
      <c r="J29" s="37">
        <f>IF(20*Settings!$C$7&gt;=1440,"",MOD(ROUND((Settings!$C$6+20*Settings!$C$7/1440)*1440,0),1440)/1440)</f>
        <v/>
      </c>
      <c r="K29" s="8" t="n"/>
      <c r="L29" s="8" t="n"/>
      <c r="M29" s="8" t="n"/>
      <c r="N29" s="8" t="n"/>
      <c r="P29" s="37">
        <f>IF(20*Settings!$C$7&gt;=1440,"",MOD(ROUND((Settings!$C$6+20*Settings!$C$7/1440)*1440,0),1440)/1440)</f>
        <v/>
      </c>
      <c r="Q29" s="8" t="n"/>
      <c r="R29" s="8" t="n"/>
      <c r="S29" s="8" t="n"/>
      <c r="T29" s="8" t="n"/>
      <c r="V29" s="37">
        <f>IF(20*Settings!$C$7&gt;=1440,"",MOD(ROUND((Settings!$C$6+20*Settings!$C$7/1440)*1440,0),1440)/1440)</f>
        <v/>
      </c>
      <c r="W29" s="8" t="n"/>
      <c r="X29" s="8" t="n"/>
      <c r="Y29" s="8" t="n"/>
      <c r="Z29" s="8" t="n"/>
      <c r="AB29" s="37">
        <f>IF(20*Settings!$C$7&gt;=1440,"",MOD(ROUND((Settings!$C$6+20*Settings!$C$7/1440)*1440,0),1440)/1440)</f>
        <v/>
      </c>
      <c r="AC29" s="8" t="n"/>
      <c r="AD29" s="8" t="n"/>
      <c r="AE29" s="8" t="n"/>
      <c r="AF29" s="8" t="n"/>
      <c r="AH29" s="37">
        <f>IF(20*Settings!$C$7&gt;=1440,"",MOD(ROUND((Settings!$C$6+20*Settings!$C$7/1440)*1440,0),1440)/1440)</f>
        <v/>
      </c>
      <c r="AI29" s="8" t="n"/>
      <c r="AJ29" s="8" t="n"/>
      <c r="AK29" s="8" t="n"/>
      <c r="AL29" s="8" t="n"/>
      <c r="AN29" s="37">
        <f>IF(20*Settings!$C$7&gt;=1440,"",MOD(ROUND((Settings!$C$6+20*Settings!$C$7/1440)*1440,0),1440)/1440)</f>
        <v/>
      </c>
      <c r="AO29" s="8" t="n"/>
      <c r="AP29" s="8" t="n"/>
      <c r="AQ29" s="8" t="n"/>
      <c r="AR29" s="8" t="n"/>
      <c r="AT29" s="37">
        <f>IF(20*Settings!$C$7&gt;=1440,"",MOD(ROUND((Settings!$C$6+20*Settings!$C$7/1440)*1440,0),1440)/1440)</f>
        <v/>
      </c>
      <c r="AU29" s="8" t="n"/>
      <c r="AV29" s="8" t="n"/>
      <c r="AW29" s="8" t="n"/>
      <c r="AX29" s="8" t="n"/>
    </row>
    <row r="30">
      <c r="J30" s="37">
        <f>IF(21*Settings!$C$7&gt;=1440,"",MOD(ROUND((Settings!$C$6+21*Settings!$C$7/1440)*1440,0),1440)/1440)</f>
        <v/>
      </c>
      <c r="K30" s="8" t="n"/>
      <c r="L30" s="8" t="n"/>
      <c r="M30" s="8" t="n"/>
      <c r="N30" s="8" t="n"/>
      <c r="P30" s="37">
        <f>IF(21*Settings!$C$7&gt;=1440,"",MOD(ROUND((Settings!$C$6+21*Settings!$C$7/1440)*1440,0),1440)/1440)</f>
        <v/>
      </c>
      <c r="Q30" s="8" t="n"/>
      <c r="R30" s="8" t="n"/>
      <c r="S30" s="8" t="n"/>
      <c r="T30" s="8" t="n"/>
      <c r="V30" s="37">
        <f>IF(21*Settings!$C$7&gt;=1440,"",MOD(ROUND((Settings!$C$6+21*Settings!$C$7/1440)*1440,0),1440)/1440)</f>
        <v/>
      </c>
      <c r="W30" s="8" t="n"/>
      <c r="X30" s="8" t="n"/>
      <c r="Y30" s="8" t="n"/>
      <c r="Z30" s="8" t="n"/>
      <c r="AB30" s="37">
        <f>IF(21*Settings!$C$7&gt;=1440,"",MOD(ROUND((Settings!$C$6+21*Settings!$C$7/1440)*1440,0),1440)/1440)</f>
        <v/>
      </c>
      <c r="AC30" s="8" t="n"/>
      <c r="AD30" s="8" t="n"/>
      <c r="AE30" s="8" t="n"/>
      <c r="AF30" s="8" t="n"/>
      <c r="AH30" s="37">
        <f>IF(21*Settings!$C$7&gt;=1440,"",MOD(ROUND((Settings!$C$6+21*Settings!$C$7/1440)*1440,0),1440)/1440)</f>
        <v/>
      </c>
      <c r="AI30" s="8" t="n"/>
      <c r="AJ30" s="8" t="n"/>
      <c r="AK30" s="8" t="n"/>
      <c r="AL30" s="8" t="n"/>
      <c r="AN30" s="37">
        <f>IF(21*Settings!$C$7&gt;=1440,"",MOD(ROUND((Settings!$C$6+21*Settings!$C$7/1440)*1440,0),1440)/1440)</f>
        <v/>
      </c>
      <c r="AO30" s="8" t="n"/>
      <c r="AP30" s="8" t="n"/>
      <c r="AQ30" s="8" t="n"/>
      <c r="AR30" s="8" t="n"/>
      <c r="AT30" s="37">
        <f>IF(21*Settings!$C$7&gt;=1440,"",MOD(ROUND((Settings!$C$6+21*Settings!$C$7/1440)*1440,0),1440)/1440)</f>
        <v/>
      </c>
      <c r="AU30" s="8" t="n"/>
      <c r="AV30" s="8" t="n"/>
      <c r="AW30" s="8" t="n"/>
      <c r="AX30" s="8" t="n"/>
      <c r="BA30" s="6">
        <f>IF(Settings!$C$101="",Settings!$B$101,Settings!$C$101)</f>
        <v/>
      </c>
      <c r="BB30" s="6" t="n"/>
      <c r="BC30" s="6" t="n"/>
      <c r="BD30" s="6" t="n"/>
      <c r="BE30" s="6" t="n"/>
      <c r="BF30" s="6" t="n"/>
      <c r="BG30" s="6" t="n"/>
      <c r="BH30" s="6" t="n"/>
      <c r="BI30" s="39" t="inlineStr">
        <is>
          <t>Avg</t>
        </is>
      </c>
      <c r="BJ30" s="39" t="inlineStr">
        <is>
          <t>Total</t>
        </is>
      </c>
    </row>
    <row r="31">
      <c r="J31" s="37">
        <f>IF(22*Settings!$C$7&gt;=1440,"",MOD(ROUND((Settings!$C$6+22*Settings!$C$7/1440)*1440,0),1440)/1440)</f>
        <v/>
      </c>
      <c r="K31" s="8" t="n"/>
      <c r="L31" s="8" t="n"/>
      <c r="M31" s="8" t="n"/>
      <c r="N31" s="8" t="n"/>
      <c r="P31" s="37">
        <f>IF(22*Settings!$C$7&gt;=1440,"",MOD(ROUND((Settings!$C$6+22*Settings!$C$7/1440)*1440,0),1440)/1440)</f>
        <v/>
      </c>
      <c r="Q31" s="8" t="n"/>
      <c r="R31" s="8" t="n"/>
      <c r="S31" s="8" t="n"/>
      <c r="T31" s="8" t="n"/>
      <c r="V31" s="37">
        <f>IF(22*Settings!$C$7&gt;=1440,"",MOD(ROUND((Settings!$C$6+22*Settings!$C$7/1440)*1440,0),1440)/1440)</f>
        <v/>
      </c>
      <c r="W31" s="8" t="n"/>
      <c r="X31" s="8" t="n"/>
      <c r="Y31" s="8" t="n"/>
      <c r="Z31" s="8" t="n"/>
      <c r="AB31" s="37">
        <f>IF(22*Settings!$C$7&gt;=1440,"",MOD(ROUND((Settings!$C$6+22*Settings!$C$7/1440)*1440,0),1440)/1440)</f>
        <v/>
      </c>
      <c r="AC31" s="8" t="n"/>
      <c r="AD31" s="8" t="n"/>
      <c r="AE31" s="8" t="n"/>
      <c r="AF31" s="8" t="n"/>
      <c r="AH31" s="37">
        <f>IF(22*Settings!$C$7&gt;=1440,"",MOD(ROUND((Settings!$C$6+22*Settings!$C$7/1440)*1440,0),1440)/1440)</f>
        <v/>
      </c>
      <c r="AI31" s="8" t="n"/>
      <c r="AJ31" s="8" t="n"/>
      <c r="AK31" s="8" t="n"/>
      <c r="AL31" s="8" t="n"/>
      <c r="AN31" s="37">
        <f>IF(22*Settings!$C$7&gt;=1440,"",MOD(ROUND((Settings!$C$6+22*Settings!$C$7/1440)*1440,0),1440)/1440)</f>
        <v/>
      </c>
      <c r="AO31" s="8" t="n"/>
      <c r="AP31" s="8" t="n"/>
      <c r="AQ31" s="8" t="n"/>
      <c r="AR31" s="8" t="n"/>
      <c r="AT31" s="37">
        <f>IF(22*Settings!$C$7&gt;=1440,"",MOD(ROUND((Settings!$C$6+22*Settings!$C$7/1440)*1440,0),1440)/1440)</f>
        <v/>
      </c>
      <c r="AU31" s="8" t="n"/>
      <c r="AV31" s="8" t="n"/>
      <c r="AW31" s="8" t="n"/>
      <c r="AX31" s="8" t="n"/>
      <c r="BA31" s="40">
        <f>Settings!$B$61&amp;IF(Settings!$C$61&lt;&gt;""," ("&amp;Settings!$C$61&amp;")","")</f>
        <v/>
      </c>
      <c r="BB31" s="14" t="n"/>
      <c r="BC31" s="14" t="n"/>
      <c r="BD31" s="14" t="n"/>
      <c r="BE31" s="14" t="n"/>
      <c r="BF31" s="14" t="n"/>
      <c r="BG31" s="14" t="n"/>
      <c r="BH31" s="14" t="n"/>
      <c r="BI31" s="41">
        <f>IFERROR(AVERAGE(BB31:BH31),0)</f>
        <v/>
      </c>
      <c r="BJ31" s="41">
        <f>SUM(BB31:BH31)</f>
        <v/>
      </c>
      <c r="BM31">
        <f>IF(BB31="","",IFERROR(MIN(1,MAX(0,(BB31-Settings!$D$61)/(Settings!$E$61-Settings!$D$61))),0))</f>
        <v/>
      </c>
      <c r="BN31">
        <f>IF(BC31="","",IFERROR(MIN(1,MAX(0,(BC31-Settings!$D$61)/(Settings!$E$61-Settings!$D$61))),0))</f>
        <v/>
      </c>
      <c r="BO31">
        <f>IF(BD31="","",IFERROR(MIN(1,MAX(0,(BD31-Settings!$D$61)/(Settings!$E$61-Settings!$D$61))),0))</f>
        <v/>
      </c>
      <c r="BP31">
        <f>IF(BE31="","",IFERROR(MIN(1,MAX(0,(BE31-Settings!$D$61)/(Settings!$E$61-Settings!$D$61))),0))</f>
        <v/>
      </c>
      <c r="BQ31">
        <f>IF(BF31="","",IFERROR(MIN(1,MAX(0,(BF31-Settings!$D$61)/(Settings!$E$61-Settings!$D$61))),0))</f>
        <v/>
      </c>
      <c r="BR31">
        <f>IF(BG31="","",IFERROR(MIN(1,MAX(0,(BG31-Settings!$D$61)/(Settings!$E$61-Settings!$D$61))),0))</f>
        <v/>
      </c>
      <c r="BS31">
        <f>IF(BH31="","",IFERROR(MIN(1,MAX(0,(BH31-Settings!$D$61)/(Settings!$E$61-Settings!$D$61))),0))</f>
        <v/>
      </c>
      <c r="BT31">
        <f>IFERROR(MIN(1,MAX(0,(BI31-Settings!$D$61)/(Settings!$E$61-Settings!$D$61))),0)</f>
        <v/>
      </c>
    </row>
    <row r="32">
      <c r="J32" s="37">
        <f>IF(23*Settings!$C$7&gt;=1440,"",MOD(ROUND((Settings!$C$6+23*Settings!$C$7/1440)*1440,0),1440)/1440)</f>
        <v/>
      </c>
      <c r="K32" s="8" t="n"/>
      <c r="L32" s="8" t="n"/>
      <c r="M32" s="8" t="n"/>
      <c r="N32" s="8" t="n"/>
      <c r="P32" s="37">
        <f>IF(23*Settings!$C$7&gt;=1440,"",MOD(ROUND((Settings!$C$6+23*Settings!$C$7/1440)*1440,0),1440)/1440)</f>
        <v/>
      </c>
      <c r="Q32" s="8" t="n"/>
      <c r="R32" s="8" t="n"/>
      <c r="S32" s="8" t="n"/>
      <c r="T32" s="8" t="n"/>
      <c r="V32" s="37">
        <f>IF(23*Settings!$C$7&gt;=1440,"",MOD(ROUND((Settings!$C$6+23*Settings!$C$7/1440)*1440,0),1440)/1440)</f>
        <v/>
      </c>
      <c r="W32" s="8" t="n"/>
      <c r="X32" s="8" t="n"/>
      <c r="Y32" s="8" t="n"/>
      <c r="Z32" s="8" t="n"/>
      <c r="AB32" s="37">
        <f>IF(23*Settings!$C$7&gt;=1440,"",MOD(ROUND((Settings!$C$6+23*Settings!$C$7/1440)*1440,0),1440)/1440)</f>
        <v/>
      </c>
      <c r="AC32" s="8" t="n"/>
      <c r="AD32" s="8" t="n"/>
      <c r="AE32" s="8" t="n"/>
      <c r="AF32" s="8" t="n"/>
      <c r="AH32" s="37">
        <f>IF(23*Settings!$C$7&gt;=1440,"",MOD(ROUND((Settings!$C$6+23*Settings!$C$7/1440)*1440,0),1440)/1440)</f>
        <v/>
      </c>
      <c r="AI32" s="8" t="n"/>
      <c r="AJ32" s="8" t="n"/>
      <c r="AK32" s="8" t="n"/>
      <c r="AL32" s="8" t="n"/>
      <c r="AN32" s="37">
        <f>IF(23*Settings!$C$7&gt;=1440,"",MOD(ROUND((Settings!$C$6+23*Settings!$C$7/1440)*1440,0),1440)/1440)</f>
        <v/>
      </c>
      <c r="AO32" s="8" t="n"/>
      <c r="AP32" s="8" t="n"/>
      <c r="AQ32" s="8" t="n"/>
      <c r="AR32" s="8" t="n"/>
      <c r="AT32" s="37">
        <f>IF(23*Settings!$C$7&gt;=1440,"",MOD(ROUND((Settings!$C$6+23*Settings!$C$7/1440)*1440,0),1440)/1440)</f>
        <v/>
      </c>
      <c r="AU32" s="8" t="n"/>
      <c r="AV32" s="8" t="n"/>
      <c r="AW32" s="8" t="n"/>
      <c r="AX32" s="8" t="n"/>
      <c r="BA32" s="42" t="inlineStr">
        <is>
          <t>progress</t>
        </is>
      </c>
      <c r="BB32" s="43">
        <f>IF(BM31="","",REPT("█",ROUND(BM31*5,0))&amp;REPT("░",5-ROUND(BM31*5,0)))</f>
        <v/>
      </c>
      <c r="BC32" s="43">
        <f>IF(BN31="","",REPT("█",ROUND(BN31*5,0))&amp;REPT("░",5-ROUND(BN31*5,0)))</f>
        <v/>
      </c>
      <c r="BD32" s="43">
        <f>IF(BO31="","",REPT("█",ROUND(BO31*5,0))&amp;REPT("░",5-ROUND(BO31*5,0)))</f>
        <v/>
      </c>
      <c r="BE32" s="43">
        <f>IF(BP31="","",REPT("█",ROUND(BP31*5,0))&amp;REPT("░",5-ROUND(BP31*5,0)))</f>
        <v/>
      </c>
      <c r="BF32" s="43">
        <f>IF(BQ31="","",REPT("█",ROUND(BQ31*5,0))&amp;REPT("░",5-ROUND(BQ31*5,0)))</f>
        <v/>
      </c>
      <c r="BG32" s="43">
        <f>IF(BR31="","",REPT("█",ROUND(BR31*5,0))&amp;REPT("░",5-ROUND(BR31*5,0)))</f>
        <v/>
      </c>
      <c r="BH32" s="43">
        <f>IF(BS31="","",REPT("█",ROUND(BS31*5,0))&amp;REPT("░",5-ROUND(BS31*5,0)))</f>
        <v/>
      </c>
      <c r="BI32" s="43">
        <f>IF(BT31="","",REPT("█",ROUND(BT31*5,0))&amp;REPT("░",5-ROUND(BT31*5,0)))</f>
        <v/>
      </c>
    </row>
    <row r="33">
      <c r="J33" s="37">
        <f>IF(24*Settings!$C$7&gt;=1440,"",MOD(ROUND((Settings!$C$6+24*Settings!$C$7/1440)*1440,0),1440)/1440)</f>
        <v/>
      </c>
      <c r="K33" s="8" t="n"/>
      <c r="L33" s="8" t="n"/>
      <c r="M33" s="8" t="n"/>
      <c r="N33" s="8" t="n"/>
      <c r="P33" s="37">
        <f>IF(24*Settings!$C$7&gt;=1440,"",MOD(ROUND((Settings!$C$6+24*Settings!$C$7/1440)*1440,0),1440)/1440)</f>
        <v/>
      </c>
      <c r="Q33" s="8" t="n"/>
      <c r="R33" s="8" t="n"/>
      <c r="S33" s="8" t="n"/>
      <c r="T33" s="8" t="n"/>
      <c r="V33" s="37">
        <f>IF(24*Settings!$C$7&gt;=1440,"",MOD(ROUND((Settings!$C$6+24*Settings!$C$7/1440)*1440,0),1440)/1440)</f>
        <v/>
      </c>
      <c r="W33" s="8" t="n"/>
      <c r="X33" s="8" t="n"/>
      <c r="Y33" s="8" t="n"/>
      <c r="Z33" s="8" t="n"/>
      <c r="AB33" s="37">
        <f>IF(24*Settings!$C$7&gt;=1440,"",MOD(ROUND((Settings!$C$6+24*Settings!$C$7/1440)*1440,0),1440)/1440)</f>
        <v/>
      </c>
      <c r="AC33" s="8" t="n"/>
      <c r="AD33" s="8" t="n"/>
      <c r="AE33" s="8" t="n"/>
      <c r="AF33" s="8" t="n"/>
      <c r="AH33" s="37">
        <f>IF(24*Settings!$C$7&gt;=1440,"",MOD(ROUND((Settings!$C$6+24*Settings!$C$7/1440)*1440,0),1440)/1440)</f>
        <v/>
      </c>
      <c r="AI33" s="8" t="n"/>
      <c r="AJ33" s="8" t="n"/>
      <c r="AK33" s="8" t="n"/>
      <c r="AL33" s="8" t="n"/>
      <c r="AN33" s="37">
        <f>IF(24*Settings!$C$7&gt;=1440,"",MOD(ROUND((Settings!$C$6+24*Settings!$C$7/1440)*1440,0),1440)/1440)</f>
        <v/>
      </c>
      <c r="AO33" s="8" t="n"/>
      <c r="AP33" s="8" t="n"/>
      <c r="AQ33" s="8" t="n"/>
      <c r="AR33" s="8" t="n"/>
      <c r="AT33" s="37">
        <f>IF(24*Settings!$C$7&gt;=1440,"",MOD(ROUND((Settings!$C$6+24*Settings!$C$7/1440)*1440,0),1440)/1440)</f>
        <v/>
      </c>
      <c r="AU33" s="8" t="n"/>
      <c r="AV33" s="8" t="n"/>
      <c r="AW33" s="8" t="n"/>
      <c r="AX33" s="8" t="n"/>
      <c r="BA33" s="40">
        <f>Settings!$B$62&amp;IF(Settings!$C$62&lt;&gt;""," ("&amp;Settings!$C$62&amp;")","")</f>
        <v/>
      </c>
      <c r="BB33" s="14" t="n"/>
      <c r="BC33" s="14" t="n"/>
      <c r="BD33" s="14" t="n"/>
      <c r="BE33" s="14" t="n"/>
      <c r="BF33" s="14" t="n"/>
      <c r="BG33" s="14" t="n"/>
      <c r="BH33" s="14" t="n"/>
      <c r="BI33" s="41">
        <f>IFERROR(AVERAGE(BB33:BH33),0)</f>
        <v/>
      </c>
      <c r="BJ33" s="41">
        <f>SUM(BB33:BH33)</f>
        <v/>
      </c>
      <c r="BM33">
        <f>IF(BB33="","",IFERROR(MIN(1,MAX(0,(BB33-Settings!$D$62)/(Settings!$E$62-Settings!$D$62))),0))</f>
        <v/>
      </c>
      <c r="BN33">
        <f>IF(BC33="","",IFERROR(MIN(1,MAX(0,(BC33-Settings!$D$62)/(Settings!$E$62-Settings!$D$62))),0))</f>
        <v/>
      </c>
      <c r="BO33">
        <f>IF(BD33="","",IFERROR(MIN(1,MAX(0,(BD33-Settings!$D$62)/(Settings!$E$62-Settings!$D$62))),0))</f>
        <v/>
      </c>
      <c r="BP33">
        <f>IF(BE33="","",IFERROR(MIN(1,MAX(0,(BE33-Settings!$D$62)/(Settings!$E$62-Settings!$D$62))),0))</f>
        <v/>
      </c>
      <c r="BQ33">
        <f>IF(BF33="","",IFERROR(MIN(1,MAX(0,(BF33-Settings!$D$62)/(Settings!$E$62-Settings!$D$62))),0))</f>
        <v/>
      </c>
      <c r="BR33">
        <f>IF(BG33="","",IFERROR(MIN(1,MAX(0,(BG33-Settings!$D$62)/(Settings!$E$62-Settings!$D$62))),0))</f>
        <v/>
      </c>
      <c r="BS33">
        <f>IF(BH33="","",IFERROR(MIN(1,MAX(0,(BH33-Settings!$D$62)/(Settings!$E$62-Settings!$D$62))),0))</f>
        <v/>
      </c>
      <c r="BT33">
        <f>IFERROR(MIN(1,MAX(0,(BI33-Settings!$D$62)/(Settings!$E$62-Settings!$D$62))),0)</f>
        <v/>
      </c>
    </row>
    <row r="34">
      <c r="J34" s="37">
        <f>IF(25*Settings!$C$7&gt;=1440,"",MOD(ROUND((Settings!$C$6+25*Settings!$C$7/1440)*1440,0),1440)/1440)</f>
        <v/>
      </c>
      <c r="K34" s="8" t="n"/>
      <c r="L34" s="8" t="n"/>
      <c r="M34" s="8" t="n"/>
      <c r="N34" s="8" t="n"/>
      <c r="P34" s="37">
        <f>IF(25*Settings!$C$7&gt;=1440,"",MOD(ROUND((Settings!$C$6+25*Settings!$C$7/1440)*1440,0),1440)/1440)</f>
        <v/>
      </c>
      <c r="Q34" s="8" t="n"/>
      <c r="R34" s="8" t="n"/>
      <c r="S34" s="8" t="n"/>
      <c r="T34" s="8" t="n"/>
      <c r="V34" s="37">
        <f>IF(25*Settings!$C$7&gt;=1440,"",MOD(ROUND((Settings!$C$6+25*Settings!$C$7/1440)*1440,0),1440)/1440)</f>
        <v/>
      </c>
      <c r="W34" s="8" t="n"/>
      <c r="X34" s="8" t="n"/>
      <c r="Y34" s="8" t="n"/>
      <c r="Z34" s="8" t="n"/>
      <c r="AB34" s="37">
        <f>IF(25*Settings!$C$7&gt;=1440,"",MOD(ROUND((Settings!$C$6+25*Settings!$C$7/1440)*1440,0),1440)/1440)</f>
        <v/>
      </c>
      <c r="AC34" s="8" t="n"/>
      <c r="AD34" s="8" t="n"/>
      <c r="AE34" s="8" t="n"/>
      <c r="AF34" s="8" t="n"/>
      <c r="AH34" s="37">
        <f>IF(25*Settings!$C$7&gt;=1440,"",MOD(ROUND((Settings!$C$6+25*Settings!$C$7/1440)*1440,0),1440)/1440)</f>
        <v/>
      </c>
      <c r="AI34" s="8" t="n"/>
      <c r="AJ34" s="8" t="n"/>
      <c r="AK34" s="8" t="n"/>
      <c r="AL34" s="8" t="n"/>
      <c r="AN34" s="37">
        <f>IF(25*Settings!$C$7&gt;=1440,"",MOD(ROUND((Settings!$C$6+25*Settings!$C$7/1440)*1440,0),1440)/1440)</f>
        <v/>
      </c>
      <c r="AO34" s="8" t="n"/>
      <c r="AP34" s="8" t="n"/>
      <c r="AQ34" s="8" t="n"/>
      <c r="AR34" s="8" t="n"/>
      <c r="AT34" s="37">
        <f>IF(25*Settings!$C$7&gt;=1440,"",MOD(ROUND((Settings!$C$6+25*Settings!$C$7/1440)*1440,0),1440)/1440)</f>
        <v/>
      </c>
      <c r="AU34" s="8" t="n"/>
      <c r="AV34" s="8" t="n"/>
      <c r="AW34" s="8" t="n"/>
      <c r="AX34" s="8" t="n"/>
      <c r="BA34" s="42" t="inlineStr">
        <is>
          <t>progress</t>
        </is>
      </c>
      <c r="BB34" s="43">
        <f>IF(BM33="","",REPT("█",ROUND(BM33*5,0))&amp;REPT("░",5-ROUND(BM33*5,0)))</f>
        <v/>
      </c>
      <c r="BC34" s="43">
        <f>IF(BN33="","",REPT("█",ROUND(BN33*5,0))&amp;REPT("░",5-ROUND(BN33*5,0)))</f>
        <v/>
      </c>
      <c r="BD34" s="43">
        <f>IF(BO33="","",REPT("█",ROUND(BO33*5,0))&amp;REPT("░",5-ROUND(BO33*5,0)))</f>
        <v/>
      </c>
      <c r="BE34" s="43">
        <f>IF(BP33="","",REPT("█",ROUND(BP33*5,0))&amp;REPT("░",5-ROUND(BP33*5,0)))</f>
        <v/>
      </c>
      <c r="BF34" s="43">
        <f>IF(BQ33="","",REPT("█",ROUND(BQ33*5,0))&amp;REPT("░",5-ROUND(BQ33*5,0)))</f>
        <v/>
      </c>
      <c r="BG34" s="43">
        <f>IF(BR33="","",REPT("█",ROUND(BR33*5,0))&amp;REPT("░",5-ROUND(BR33*5,0)))</f>
        <v/>
      </c>
      <c r="BH34" s="43">
        <f>IF(BS33="","",REPT("█",ROUND(BS33*5,0))&amp;REPT("░",5-ROUND(BS33*5,0)))</f>
        <v/>
      </c>
      <c r="BI34" s="43">
        <f>IF(BT33="","",REPT("█",ROUND(BT33*5,0))&amp;REPT("░",5-ROUND(BT33*5,0)))</f>
        <v/>
      </c>
    </row>
    <row r="35">
      <c r="J35" s="37">
        <f>IF(26*Settings!$C$7&gt;=1440,"",MOD(ROUND((Settings!$C$6+26*Settings!$C$7/1440)*1440,0),1440)/1440)</f>
        <v/>
      </c>
      <c r="K35" s="8" t="n"/>
      <c r="L35" s="8" t="n"/>
      <c r="M35" s="8" t="n"/>
      <c r="N35" s="8" t="n"/>
      <c r="P35" s="37">
        <f>IF(26*Settings!$C$7&gt;=1440,"",MOD(ROUND((Settings!$C$6+26*Settings!$C$7/1440)*1440,0),1440)/1440)</f>
        <v/>
      </c>
      <c r="Q35" s="8" t="n"/>
      <c r="R35" s="8" t="n"/>
      <c r="S35" s="8" t="n"/>
      <c r="T35" s="8" t="n"/>
      <c r="V35" s="37">
        <f>IF(26*Settings!$C$7&gt;=1440,"",MOD(ROUND((Settings!$C$6+26*Settings!$C$7/1440)*1440,0),1440)/1440)</f>
        <v/>
      </c>
      <c r="W35" s="8" t="n"/>
      <c r="X35" s="8" t="n"/>
      <c r="Y35" s="8" t="n"/>
      <c r="Z35" s="8" t="n"/>
      <c r="AB35" s="37">
        <f>IF(26*Settings!$C$7&gt;=1440,"",MOD(ROUND((Settings!$C$6+26*Settings!$C$7/1440)*1440,0),1440)/1440)</f>
        <v/>
      </c>
      <c r="AC35" s="8" t="n"/>
      <c r="AD35" s="8" t="n"/>
      <c r="AE35" s="8" t="n"/>
      <c r="AF35" s="8" t="n"/>
      <c r="AH35" s="37">
        <f>IF(26*Settings!$C$7&gt;=1440,"",MOD(ROUND((Settings!$C$6+26*Settings!$C$7/1440)*1440,0),1440)/1440)</f>
        <v/>
      </c>
      <c r="AI35" s="8" t="n"/>
      <c r="AJ35" s="8" t="n"/>
      <c r="AK35" s="8" t="n"/>
      <c r="AL35" s="8" t="n"/>
      <c r="AN35" s="37">
        <f>IF(26*Settings!$C$7&gt;=1440,"",MOD(ROUND((Settings!$C$6+26*Settings!$C$7/1440)*1440,0),1440)/1440)</f>
        <v/>
      </c>
      <c r="AO35" s="8" t="n"/>
      <c r="AP35" s="8" t="n"/>
      <c r="AQ35" s="8" t="n"/>
      <c r="AR35" s="8" t="n"/>
      <c r="AT35" s="37">
        <f>IF(26*Settings!$C$7&gt;=1440,"",MOD(ROUND((Settings!$C$6+26*Settings!$C$7/1440)*1440,0),1440)/1440)</f>
        <v/>
      </c>
      <c r="AU35" s="8" t="n"/>
      <c r="AV35" s="8" t="n"/>
      <c r="AW35" s="8" t="n"/>
      <c r="AX35" s="8" t="n"/>
      <c r="BA35" s="40">
        <f>Settings!$B$63&amp;IF(Settings!$C$63&lt;&gt;""," ("&amp;Settings!$C$63&amp;")","")</f>
        <v/>
      </c>
      <c r="BB35" s="14" t="n"/>
      <c r="BC35" s="14" t="n"/>
      <c r="BD35" s="14" t="n"/>
      <c r="BE35" s="14" t="n"/>
      <c r="BF35" s="14" t="n"/>
      <c r="BG35" s="14" t="n"/>
      <c r="BH35" s="14" t="n"/>
      <c r="BI35" s="41">
        <f>IFERROR(AVERAGE(BB35:BH35),0)</f>
        <v/>
      </c>
      <c r="BJ35" s="41">
        <f>SUM(BB35:BH35)</f>
        <v/>
      </c>
      <c r="BM35">
        <f>IF(BB35="","",IFERROR(MIN(1,MAX(0,(BB35-Settings!$D$63)/(Settings!$E$63-Settings!$D$63))),0))</f>
        <v/>
      </c>
      <c r="BN35">
        <f>IF(BC35="","",IFERROR(MIN(1,MAX(0,(BC35-Settings!$D$63)/(Settings!$E$63-Settings!$D$63))),0))</f>
        <v/>
      </c>
      <c r="BO35">
        <f>IF(BD35="","",IFERROR(MIN(1,MAX(0,(BD35-Settings!$D$63)/(Settings!$E$63-Settings!$D$63))),0))</f>
        <v/>
      </c>
      <c r="BP35">
        <f>IF(BE35="","",IFERROR(MIN(1,MAX(0,(BE35-Settings!$D$63)/(Settings!$E$63-Settings!$D$63))),0))</f>
        <v/>
      </c>
      <c r="BQ35">
        <f>IF(BF35="","",IFERROR(MIN(1,MAX(0,(BF35-Settings!$D$63)/(Settings!$E$63-Settings!$D$63))),0))</f>
        <v/>
      </c>
      <c r="BR35">
        <f>IF(BG35="","",IFERROR(MIN(1,MAX(0,(BG35-Settings!$D$63)/(Settings!$E$63-Settings!$D$63))),0))</f>
        <v/>
      </c>
      <c r="BS35">
        <f>IF(BH35="","",IFERROR(MIN(1,MAX(0,(BH35-Settings!$D$63)/(Settings!$E$63-Settings!$D$63))),0))</f>
        <v/>
      </c>
      <c r="BT35">
        <f>IFERROR(MIN(1,MAX(0,(BI35-Settings!$D$63)/(Settings!$E$63-Settings!$D$63))),0)</f>
        <v/>
      </c>
    </row>
    <row r="36">
      <c r="J36" s="37">
        <f>IF(27*Settings!$C$7&gt;=1440,"",MOD(ROUND((Settings!$C$6+27*Settings!$C$7/1440)*1440,0),1440)/1440)</f>
        <v/>
      </c>
      <c r="K36" s="8" t="n"/>
      <c r="L36" s="8" t="n"/>
      <c r="M36" s="8" t="n"/>
      <c r="N36" s="8" t="n"/>
      <c r="P36" s="37">
        <f>IF(27*Settings!$C$7&gt;=1440,"",MOD(ROUND((Settings!$C$6+27*Settings!$C$7/1440)*1440,0),1440)/1440)</f>
        <v/>
      </c>
      <c r="Q36" s="8" t="n"/>
      <c r="R36" s="8" t="n"/>
      <c r="S36" s="8" t="n"/>
      <c r="T36" s="8" t="n"/>
      <c r="V36" s="37">
        <f>IF(27*Settings!$C$7&gt;=1440,"",MOD(ROUND((Settings!$C$6+27*Settings!$C$7/1440)*1440,0),1440)/1440)</f>
        <v/>
      </c>
      <c r="W36" s="8" t="n"/>
      <c r="X36" s="8" t="n"/>
      <c r="Y36" s="8" t="n"/>
      <c r="Z36" s="8" t="n"/>
      <c r="AB36" s="37">
        <f>IF(27*Settings!$C$7&gt;=1440,"",MOD(ROUND((Settings!$C$6+27*Settings!$C$7/1440)*1440,0),1440)/1440)</f>
        <v/>
      </c>
      <c r="AC36" s="8" t="n"/>
      <c r="AD36" s="8" t="n"/>
      <c r="AE36" s="8" t="n"/>
      <c r="AF36" s="8" t="n"/>
      <c r="AH36" s="37">
        <f>IF(27*Settings!$C$7&gt;=1440,"",MOD(ROUND((Settings!$C$6+27*Settings!$C$7/1440)*1440,0),1440)/1440)</f>
        <v/>
      </c>
      <c r="AI36" s="8" t="n"/>
      <c r="AJ36" s="8" t="n"/>
      <c r="AK36" s="8" t="n"/>
      <c r="AL36" s="8" t="n"/>
      <c r="AN36" s="37">
        <f>IF(27*Settings!$C$7&gt;=1440,"",MOD(ROUND((Settings!$C$6+27*Settings!$C$7/1440)*1440,0),1440)/1440)</f>
        <v/>
      </c>
      <c r="AO36" s="8" t="n"/>
      <c r="AP36" s="8" t="n"/>
      <c r="AQ36" s="8" t="n"/>
      <c r="AR36" s="8" t="n"/>
      <c r="AT36" s="37">
        <f>IF(27*Settings!$C$7&gt;=1440,"",MOD(ROUND((Settings!$C$6+27*Settings!$C$7/1440)*1440,0),1440)/1440)</f>
        <v/>
      </c>
      <c r="AU36" s="8" t="n"/>
      <c r="AV36" s="8" t="n"/>
      <c r="AW36" s="8" t="n"/>
      <c r="AX36" s="8" t="n"/>
      <c r="BA36" s="42" t="inlineStr">
        <is>
          <t>progress</t>
        </is>
      </c>
      <c r="BB36" s="43">
        <f>IF(BM35="","",REPT("█",ROUND(BM35*5,0))&amp;REPT("░",5-ROUND(BM35*5,0)))</f>
        <v/>
      </c>
      <c r="BC36" s="43">
        <f>IF(BN35="","",REPT("█",ROUND(BN35*5,0))&amp;REPT("░",5-ROUND(BN35*5,0)))</f>
        <v/>
      </c>
      <c r="BD36" s="43">
        <f>IF(BO35="","",REPT("█",ROUND(BO35*5,0))&amp;REPT("░",5-ROUND(BO35*5,0)))</f>
        <v/>
      </c>
      <c r="BE36" s="43">
        <f>IF(BP35="","",REPT("█",ROUND(BP35*5,0))&amp;REPT("░",5-ROUND(BP35*5,0)))</f>
        <v/>
      </c>
      <c r="BF36" s="43">
        <f>IF(BQ35="","",REPT("█",ROUND(BQ35*5,0))&amp;REPT("░",5-ROUND(BQ35*5,0)))</f>
        <v/>
      </c>
      <c r="BG36" s="43">
        <f>IF(BR35="","",REPT("█",ROUND(BR35*5,0))&amp;REPT("░",5-ROUND(BR35*5,0)))</f>
        <v/>
      </c>
      <c r="BH36" s="43">
        <f>IF(BS35="","",REPT("█",ROUND(BS35*5,0))&amp;REPT("░",5-ROUND(BS35*5,0)))</f>
        <v/>
      </c>
      <c r="BI36" s="43">
        <f>IF(BT35="","",REPT("█",ROUND(BT35*5,0))&amp;REPT("░",5-ROUND(BT35*5,0)))</f>
        <v/>
      </c>
    </row>
    <row r="37">
      <c r="J37" s="37">
        <f>IF(28*Settings!$C$7&gt;=1440,"",MOD(ROUND((Settings!$C$6+28*Settings!$C$7/1440)*1440,0),1440)/1440)</f>
        <v/>
      </c>
      <c r="K37" s="8" t="n"/>
      <c r="L37" s="8" t="n"/>
      <c r="M37" s="8" t="n"/>
      <c r="N37" s="8" t="n"/>
      <c r="P37" s="37">
        <f>IF(28*Settings!$C$7&gt;=1440,"",MOD(ROUND((Settings!$C$6+28*Settings!$C$7/1440)*1440,0),1440)/1440)</f>
        <v/>
      </c>
      <c r="Q37" s="8" t="n"/>
      <c r="R37" s="8" t="n"/>
      <c r="S37" s="8" t="n"/>
      <c r="T37" s="8" t="n"/>
      <c r="V37" s="37">
        <f>IF(28*Settings!$C$7&gt;=1440,"",MOD(ROUND((Settings!$C$6+28*Settings!$C$7/1440)*1440,0),1440)/1440)</f>
        <v/>
      </c>
      <c r="W37" s="8" t="n"/>
      <c r="X37" s="8" t="n"/>
      <c r="Y37" s="8" t="n"/>
      <c r="Z37" s="8" t="n"/>
      <c r="AB37" s="37">
        <f>IF(28*Settings!$C$7&gt;=1440,"",MOD(ROUND((Settings!$C$6+28*Settings!$C$7/1440)*1440,0),1440)/1440)</f>
        <v/>
      </c>
      <c r="AC37" s="8" t="n"/>
      <c r="AD37" s="8" t="n"/>
      <c r="AE37" s="8" t="n"/>
      <c r="AF37" s="8" t="n"/>
      <c r="AH37" s="37">
        <f>IF(28*Settings!$C$7&gt;=1440,"",MOD(ROUND((Settings!$C$6+28*Settings!$C$7/1440)*1440,0),1440)/1440)</f>
        <v/>
      </c>
      <c r="AI37" s="8" t="n"/>
      <c r="AJ37" s="8" t="n"/>
      <c r="AK37" s="8" t="n"/>
      <c r="AL37" s="8" t="n"/>
      <c r="AN37" s="37">
        <f>IF(28*Settings!$C$7&gt;=1440,"",MOD(ROUND((Settings!$C$6+28*Settings!$C$7/1440)*1440,0),1440)/1440)</f>
        <v/>
      </c>
      <c r="AO37" s="8" t="n"/>
      <c r="AP37" s="8" t="n"/>
      <c r="AQ37" s="8" t="n"/>
      <c r="AR37" s="8" t="n"/>
      <c r="AT37" s="37">
        <f>IF(28*Settings!$C$7&gt;=1440,"",MOD(ROUND((Settings!$C$6+28*Settings!$C$7/1440)*1440,0),1440)/1440)</f>
        <v/>
      </c>
      <c r="AU37" s="8" t="n"/>
      <c r="AV37" s="8" t="n"/>
      <c r="AW37" s="8" t="n"/>
      <c r="AX37" s="8" t="n"/>
      <c r="BA37" s="40">
        <f>Settings!$B$64&amp;IF(Settings!$C$64&lt;&gt;""," ("&amp;Settings!$C$64&amp;")","")</f>
        <v/>
      </c>
      <c r="BB37" s="14" t="n"/>
      <c r="BC37" s="14" t="n"/>
      <c r="BD37" s="14" t="n"/>
      <c r="BE37" s="14" t="n"/>
      <c r="BF37" s="14" t="n"/>
      <c r="BG37" s="14" t="n"/>
      <c r="BH37" s="14" t="n"/>
      <c r="BI37" s="41">
        <f>IFERROR(AVERAGE(BB37:BH37),0)</f>
        <v/>
      </c>
      <c r="BJ37" s="41">
        <f>SUM(BB37:BH37)</f>
        <v/>
      </c>
      <c r="BM37">
        <f>IF(BB37="","",IFERROR(MIN(1,MAX(0,(BB37-Settings!$D$64)/(Settings!$E$64-Settings!$D$64))),0))</f>
        <v/>
      </c>
      <c r="BN37">
        <f>IF(BC37="","",IFERROR(MIN(1,MAX(0,(BC37-Settings!$D$64)/(Settings!$E$64-Settings!$D$64))),0))</f>
        <v/>
      </c>
      <c r="BO37">
        <f>IF(BD37="","",IFERROR(MIN(1,MAX(0,(BD37-Settings!$D$64)/(Settings!$E$64-Settings!$D$64))),0))</f>
        <v/>
      </c>
      <c r="BP37">
        <f>IF(BE37="","",IFERROR(MIN(1,MAX(0,(BE37-Settings!$D$64)/(Settings!$E$64-Settings!$D$64))),0))</f>
        <v/>
      </c>
      <c r="BQ37">
        <f>IF(BF37="","",IFERROR(MIN(1,MAX(0,(BF37-Settings!$D$64)/(Settings!$E$64-Settings!$D$64))),0))</f>
        <v/>
      </c>
      <c r="BR37">
        <f>IF(BG37="","",IFERROR(MIN(1,MAX(0,(BG37-Settings!$D$64)/(Settings!$E$64-Settings!$D$64))),0))</f>
        <v/>
      </c>
      <c r="BS37">
        <f>IF(BH37="","",IFERROR(MIN(1,MAX(0,(BH37-Settings!$D$64)/(Settings!$E$64-Settings!$D$64))),0))</f>
        <v/>
      </c>
      <c r="BT37">
        <f>IFERROR(MIN(1,MAX(0,(BI37-Settings!$D$64)/(Settings!$E$64-Settings!$D$64))),0)</f>
        <v/>
      </c>
    </row>
    <row r="38">
      <c r="J38" s="37">
        <f>IF(29*Settings!$C$7&gt;=1440,"",MOD(ROUND((Settings!$C$6+29*Settings!$C$7/1440)*1440,0),1440)/1440)</f>
        <v/>
      </c>
      <c r="K38" s="8" t="n"/>
      <c r="L38" s="8" t="n"/>
      <c r="M38" s="8" t="n"/>
      <c r="N38" s="8" t="n"/>
      <c r="P38" s="37">
        <f>IF(29*Settings!$C$7&gt;=1440,"",MOD(ROUND((Settings!$C$6+29*Settings!$C$7/1440)*1440,0),1440)/1440)</f>
        <v/>
      </c>
      <c r="Q38" s="8" t="n"/>
      <c r="R38" s="8" t="n"/>
      <c r="S38" s="8" t="n"/>
      <c r="T38" s="8" t="n"/>
      <c r="V38" s="37">
        <f>IF(29*Settings!$C$7&gt;=1440,"",MOD(ROUND((Settings!$C$6+29*Settings!$C$7/1440)*1440,0),1440)/1440)</f>
        <v/>
      </c>
      <c r="W38" s="8" t="n"/>
      <c r="X38" s="8" t="n"/>
      <c r="Y38" s="8" t="n"/>
      <c r="Z38" s="8" t="n"/>
      <c r="AB38" s="37">
        <f>IF(29*Settings!$C$7&gt;=1440,"",MOD(ROUND((Settings!$C$6+29*Settings!$C$7/1440)*1440,0),1440)/1440)</f>
        <v/>
      </c>
      <c r="AC38" s="8" t="n"/>
      <c r="AD38" s="8" t="n"/>
      <c r="AE38" s="8" t="n"/>
      <c r="AF38" s="8" t="n"/>
      <c r="AH38" s="37">
        <f>IF(29*Settings!$C$7&gt;=1440,"",MOD(ROUND((Settings!$C$6+29*Settings!$C$7/1440)*1440,0),1440)/1440)</f>
        <v/>
      </c>
      <c r="AI38" s="8" t="n"/>
      <c r="AJ38" s="8" t="n"/>
      <c r="AK38" s="8" t="n"/>
      <c r="AL38" s="8" t="n"/>
      <c r="AN38" s="37">
        <f>IF(29*Settings!$C$7&gt;=1440,"",MOD(ROUND((Settings!$C$6+29*Settings!$C$7/1440)*1440,0),1440)/1440)</f>
        <v/>
      </c>
      <c r="AO38" s="8" t="n"/>
      <c r="AP38" s="8" t="n"/>
      <c r="AQ38" s="8" t="n"/>
      <c r="AR38" s="8" t="n"/>
      <c r="AT38" s="37">
        <f>IF(29*Settings!$C$7&gt;=1440,"",MOD(ROUND((Settings!$C$6+29*Settings!$C$7/1440)*1440,0),1440)/1440)</f>
        <v/>
      </c>
      <c r="AU38" s="8" t="n"/>
      <c r="AV38" s="8" t="n"/>
      <c r="AW38" s="8" t="n"/>
      <c r="AX38" s="8" t="n"/>
      <c r="BA38" s="42" t="inlineStr">
        <is>
          <t>progress</t>
        </is>
      </c>
      <c r="BB38" s="43">
        <f>IF(BM37="","",REPT("█",ROUND(BM37*5,0))&amp;REPT("░",5-ROUND(BM37*5,0)))</f>
        <v/>
      </c>
      <c r="BC38" s="43">
        <f>IF(BN37="","",REPT("█",ROUND(BN37*5,0))&amp;REPT("░",5-ROUND(BN37*5,0)))</f>
        <v/>
      </c>
      <c r="BD38" s="43">
        <f>IF(BO37="","",REPT("█",ROUND(BO37*5,0))&amp;REPT("░",5-ROUND(BO37*5,0)))</f>
        <v/>
      </c>
      <c r="BE38" s="43">
        <f>IF(BP37="","",REPT("█",ROUND(BP37*5,0))&amp;REPT("░",5-ROUND(BP37*5,0)))</f>
        <v/>
      </c>
      <c r="BF38" s="43">
        <f>IF(BQ37="","",REPT("█",ROUND(BQ37*5,0))&amp;REPT("░",5-ROUND(BQ37*5,0)))</f>
        <v/>
      </c>
      <c r="BG38" s="43">
        <f>IF(BR37="","",REPT("█",ROUND(BR37*5,0))&amp;REPT("░",5-ROUND(BR37*5,0)))</f>
        <v/>
      </c>
      <c r="BH38" s="43">
        <f>IF(BS37="","",REPT("█",ROUND(BS37*5,0))&amp;REPT("░",5-ROUND(BS37*5,0)))</f>
        <v/>
      </c>
      <c r="BI38" s="43">
        <f>IF(BT37="","",REPT("█",ROUND(BT37*5,0))&amp;REPT("░",5-ROUND(BT37*5,0)))</f>
        <v/>
      </c>
    </row>
    <row r="39">
      <c r="J39" s="37">
        <f>IF(30*Settings!$C$7&gt;=1440,"",MOD(ROUND((Settings!$C$6+30*Settings!$C$7/1440)*1440,0),1440)/1440)</f>
        <v/>
      </c>
      <c r="K39" s="8" t="n"/>
      <c r="L39" s="8" t="n"/>
      <c r="M39" s="8" t="n"/>
      <c r="N39" s="8" t="n"/>
      <c r="P39" s="37">
        <f>IF(30*Settings!$C$7&gt;=1440,"",MOD(ROUND((Settings!$C$6+30*Settings!$C$7/1440)*1440,0),1440)/1440)</f>
        <v/>
      </c>
      <c r="Q39" s="8" t="n"/>
      <c r="R39" s="8" t="n"/>
      <c r="S39" s="8" t="n"/>
      <c r="T39" s="8" t="n"/>
      <c r="V39" s="37">
        <f>IF(30*Settings!$C$7&gt;=1440,"",MOD(ROUND((Settings!$C$6+30*Settings!$C$7/1440)*1440,0),1440)/1440)</f>
        <v/>
      </c>
      <c r="W39" s="8" t="n"/>
      <c r="X39" s="8" t="n"/>
      <c r="Y39" s="8" t="n"/>
      <c r="Z39" s="8" t="n"/>
      <c r="AB39" s="37">
        <f>IF(30*Settings!$C$7&gt;=1440,"",MOD(ROUND((Settings!$C$6+30*Settings!$C$7/1440)*1440,0),1440)/1440)</f>
        <v/>
      </c>
      <c r="AC39" s="8" t="n"/>
      <c r="AD39" s="8" t="n"/>
      <c r="AE39" s="8" t="n"/>
      <c r="AF39" s="8" t="n"/>
      <c r="AH39" s="37">
        <f>IF(30*Settings!$C$7&gt;=1440,"",MOD(ROUND((Settings!$C$6+30*Settings!$C$7/1440)*1440,0),1440)/1440)</f>
        <v/>
      </c>
      <c r="AI39" s="8" t="n"/>
      <c r="AJ39" s="8" t="n"/>
      <c r="AK39" s="8" t="n"/>
      <c r="AL39" s="8" t="n"/>
      <c r="AN39" s="37">
        <f>IF(30*Settings!$C$7&gt;=1440,"",MOD(ROUND((Settings!$C$6+30*Settings!$C$7/1440)*1440,0),1440)/1440)</f>
        <v/>
      </c>
      <c r="AO39" s="8" t="n"/>
      <c r="AP39" s="8" t="n"/>
      <c r="AQ39" s="8" t="n"/>
      <c r="AR39" s="8" t="n"/>
      <c r="AT39" s="37">
        <f>IF(30*Settings!$C$7&gt;=1440,"",MOD(ROUND((Settings!$C$6+30*Settings!$C$7/1440)*1440,0),1440)/1440)</f>
        <v/>
      </c>
      <c r="AU39" s="8" t="n"/>
      <c r="AV39" s="8" t="n"/>
      <c r="AW39" s="8" t="n"/>
      <c r="AX39" s="8" t="n"/>
      <c r="BA39" s="40">
        <f>Settings!$B$65&amp;IF(Settings!$C$65&lt;&gt;""," ("&amp;Settings!$C$65&amp;")","")</f>
        <v/>
      </c>
      <c r="BB39" s="14" t="n"/>
      <c r="BC39" s="14" t="n"/>
      <c r="BD39" s="14" t="n"/>
      <c r="BE39" s="14" t="n"/>
      <c r="BF39" s="14" t="n"/>
      <c r="BG39" s="14" t="n"/>
      <c r="BH39" s="14" t="n"/>
      <c r="BI39" s="41">
        <f>IFERROR(AVERAGE(BB39:BH39),0)</f>
        <v/>
      </c>
      <c r="BJ39" s="41">
        <f>SUM(BB39:BH39)</f>
        <v/>
      </c>
      <c r="BM39">
        <f>IF(BB39="","",IFERROR(MIN(1,MAX(0,(BB39-Settings!$D$65)/(Settings!$E$65-Settings!$D$65))),0))</f>
        <v/>
      </c>
      <c r="BN39">
        <f>IF(BC39="","",IFERROR(MIN(1,MAX(0,(BC39-Settings!$D$65)/(Settings!$E$65-Settings!$D$65))),0))</f>
        <v/>
      </c>
      <c r="BO39">
        <f>IF(BD39="","",IFERROR(MIN(1,MAX(0,(BD39-Settings!$D$65)/(Settings!$E$65-Settings!$D$65))),0))</f>
        <v/>
      </c>
      <c r="BP39">
        <f>IF(BE39="","",IFERROR(MIN(1,MAX(0,(BE39-Settings!$D$65)/(Settings!$E$65-Settings!$D$65))),0))</f>
        <v/>
      </c>
      <c r="BQ39">
        <f>IF(BF39="","",IFERROR(MIN(1,MAX(0,(BF39-Settings!$D$65)/(Settings!$E$65-Settings!$D$65))),0))</f>
        <v/>
      </c>
      <c r="BR39">
        <f>IF(BG39="","",IFERROR(MIN(1,MAX(0,(BG39-Settings!$D$65)/(Settings!$E$65-Settings!$D$65))),0))</f>
        <v/>
      </c>
      <c r="BS39">
        <f>IF(BH39="","",IFERROR(MIN(1,MAX(0,(BH39-Settings!$D$65)/(Settings!$E$65-Settings!$D$65))),0))</f>
        <v/>
      </c>
      <c r="BT39">
        <f>IFERROR(MIN(1,MAX(0,(BI39-Settings!$D$65)/(Settings!$E$65-Settings!$D$65))),0)</f>
        <v/>
      </c>
    </row>
    <row r="40">
      <c r="J40" s="37">
        <f>IF(31*Settings!$C$7&gt;=1440,"",MOD(ROUND((Settings!$C$6+31*Settings!$C$7/1440)*1440,0),1440)/1440)</f>
        <v/>
      </c>
      <c r="K40" s="8" t="n"/>
      <c r="L40" s="8" t="n"/>
      <c r="M40" s="8" t="n"/>
      <c r="N40" s="8" t="n"/>
      <c r="P40" s="37">
        <f>IF(31*Settings!$C$7&gt;=1440,"",MOD(ROUND((Settings!$C$6+31*Settings!$C$7/1440)*1440,0),1440)/1440)</f>
        <v/>
      </c>
      <c r="Q40" s="8" t="n"/>
      <c r="R40" s="8" t="n"/>
      <c r="S40" s="8" t="n"/>
      <c r="T40" s="8" t="n"/>
      <c r="V40" s="37">
        <f>IF(31*Settings!$C$7&gt;=1440,"",MOD(ROUND((Settings!$C$6+31*Settings!$C$7/1440)*1440,0),1440)/1440)</f>
        <v/>
      </c>
      <c r="W40" s="8" t="n"/>
      <c r="X40" s="8" t="n"/>
      <c r="Y40" s="8" t="n"/>
      <c r="Z40" s="8" t="n"/>
      <c r="AB40" s="37">
        <f>IF(31*Settings!$C$7&gt;=1440,"",MOD(ROUND((Settings!$C$6+31*Settings!$C$7/1440)*1440,0),1440)/1440)</f>
        <v/>
      </c>
      <c r="AC40" s="8" t="n"/>
      <c r="AD40" s="8" t="n"/>
      <c r="AE40" s="8" t="n"/>
      <c r="AF40" s="8" t="n"/>
      <c r="AH40" s="37">
        <f>IF(31*Settings!$C$7&gt;=1440,"",MOD(ROUND((Settings!$C$6+31*Settings!$C$7/1440)*1440,0),1440)/1440)</f>
        <v/>
      </c>
      <c r="AI40" s="8" t="n"/>
      <c r="AJ40" s="8" t="n"/>
      <c r="AK40" s="8" t="n"/>
      <c r="AL40" s="8" t="n"/>
      <c r="AN40" s="37">
        <f>IF(31*Settings!$C$7&gt;=1440,"",MOD(ROUND((Settings!$C$6+31*Settings!$C$7/1440)*1440,0),1440)/1440)</f>
        <v/>
      </c>
      <c r="AO40" s="8" t="n"/>
      <c r="AP40" s="8" t="n"/>
      <c r="AQ40" s="8" t="n"/>
      <c r="AR40" s="8" t="n"/>
      <c r="AT40" s="37">
        <f>IF(31*Settings!$C$7&gt;=1440,"",MOD(ROUND((Settings!$C$6+31*Settings!$C$7/1440)*1440,0),1440)/1440)</f>
        <v/>
      </c>
      <c r="AU40" s="8" t="n"/>
      <c r="AV40" s="8" t="n"/>
      <c r="AW40" s="8" t="n"/>
      <c r="AX40" s="8" t="n"/>
      <c r="BA40" s="42" t="inlineStr">
        <is>
          <t>progress</t>
        </is>
      </c>
      <c r="BB40" s="43">
        <f>IF(BM39="","",REPT("█",ROUND(BM39*5,0))&amp;REPT("░",5-ROUND(BM39*5,0)))</f>
        <v/>
      </c>
      <c r="BC40" s="43">
        <f>IF(BN39="","",REPT("█",ROUND(BN39*5,0))&amp;REPT("░",5-ROUND(BN39*5,0)))</f>
        <v/>
      </c>
      <c r="BD40" s="43">
        <f>IF(BO39="","",REPT("█",ROUND(BO39*5,0))&amp;REPT("░",5-ROUND(BO39*5,0)))</f>
        <v/>
      </c>
      <c r="BE40" s="43">
        <f>IF(BP39="","",REPT("█",ROUND(BP39*5,0))&amp;REPT("░",5-ROUND(BP39*5,0)))</f>
        <v/>
      </c>
      <c r="BF40" s="43">
        <f>IF(BQ39="","",REPT("█",ROUND(BQ39*5,0))&amp;REPT("░",5-ROUND(BQ39*5,0)))</f>
        <v/>
      </c>
      <c r="BG40" s="43">
        <f>IF(BR39="","",REPT("█",ROUND(BR39*5,0))&amp;REPT("░",5-ROUND(BR39*5,0)))</f>
        <v/>
      </c>
      <c r="BH40" s="43">
        <f>IF(BS39="","",REPT("█",ROUND(BS39*5,0))&amp;REPT("░",5-ROUND(BS39*5,0)))</f>
        <v/>
      </c>
      <c r="BI40" s="43">
        <f>IF(BT39="","",REPT("█",ROUND(BT39*5,0))&amp;REPT("░",5-ROUND(BT39*5,0)))</f>
        <v/>
      </c>
    </row>
    <row r="41">
      <c r="J41" s="37">
        <f>IF(32*Settings!$C$7&gt;=1440,"",MOD(ROUND((Settings!$C$6+32*Settings!$C$7/1440)*1440,0),1440)/1440)</f>
        <v/>
      </c>
      <c r="K41" s="8" t="n"/>
      <c r="L41" s="8" t="n"/>
      <c r="M41" s="8" t="n"/>
      <c r="N41" s="8" t="n"/>
      <c r="P41" s="37">
        <f>IF(32*Settings!$C$7&gt;=1440,"",MOD(ROUND((Settings!$C$6+32*Settings!$C$7/1440)*1440,0),1440)/1440)</f>
        <v/>
      </c>
      <c r="Q41" s="8" t="n"/>
      <c r="R41" s="8" t="n"/>
      <c r="S41" s="8" t="n"/>
      <c r="T41" s="8" t="n"/>
      <c r="V41" s="37">
        <f>IF(32*Settings!$C$7&gt;=1440,"",MOD(ROUND((Settings!$C$6+32*Settings!$C$7/1440)*1440,0),1440)/1440)</f>
        <v/>
      </c>
      <c r="W41" s="8" t="n"/>
      <c r="X41" s="8" t="n"/>
      <c r="Y41" s="8" t="n"/>
      <c r="Z41" s="8" t="n"/>
      <c r="AB41" s="37">
        <f>IF(32*Settings!$C$7&gt;=1440,"",MOD(ROUND((Settings!$C$6+32*Settings!$C$7/1440)*1440,0),1440)/1440)</f>
        <v/>
      </c>
      <c r="AC41" s="8" t="n"/>
      <c r="AD41" s="8" t="n"/>
      <c r="AE41" s="8" t="n"/>
      <c r="AF41" s="8" t="n"/>
      <c r="AH41" s="37">
        <f>IF(32*Settings!$C$7&gt;=1440,"",MOD(ROUND((Settings!$C$6+32*Settings!$C$7/1440)*1440,0),1440)/1440)</f>
        <v/>
      </c>
      <c r="AI41" s="8" t="n"/>
      <c r="AJ41" s="8" t="n"/>
      <c r="AK41" s="8" t="n"/>
      <c r="AL41" s="8" t="n"/>
      <c r="AN41" s="37">
        <f>IF(32*Settings!$C$7&gt;=1440,"",MOD(ROUND((Settings!$C$6+32*Settings!$C$7/1440)*1440,0),1440)/1440)</f>
        <v/>
      </c>
      <c r="AO41" s="8" t="n"/>
      <c r="AP41" s="8" t="n"/>
      <c r="AQ41" s="8" t="n"/>
      <c r="AR41" s="8" t="n"/>
      <c r="AT41" s="37">
        <f>IF(32*Settings!$C$7&gt;=1440,"",MOD(ROUND((Settings!$C$6+32*Settings!$C$7/1440)*1440,0),1440)/1440)</f>
        <v/>
      </c>
      <c r="AU41" s="8" t="n"/>
      <c r="AV41" s="8" t="n"/>
      <c r="AW41" s="8" t="n"/>
      <c r="AX41" s="8" t="n"/>
    </row>
    <row r="42">
      <c r="J42" s="37">
        <f>IF(33*Settings!$C$7&gt;=1440,"",MOD(ROUND((Settings!$C$6+33*Settings!$C$7/1440)*1440,0),1440)/1440)</f>
        <v/>
      </c>
      <c r="K42" s="8" t="n"/>
      <c r="L42" s="8" t="n"/>
      <c r="M42" s="8" t="n"/>
      <c r="N42" s="8" t="n"/>
      <c r="P42" s="37">
        <f>IF(33*Settings!$C$7&gt;=1440,"",MOD(ROUND((Settings!$C$6+33*Settings!$C$7/1440)*1440,0),1440)/1440)</f>
        <v/>
      </c>
      <c r="Q42" s="8" t="n"/>
      <c r="R42" s="8" t="n"/>
      <c r="S42" s="8" t="n"/>
      <c r="T42" s="8" t="n"/>
      <c r="V42" s="37">
        <f>IF(33*Settings!$C$7&gt;=1440,"",MOD(ROUND((Settings!$C$6+33*Settings!$C$7/1440)*1440,0),1440)/1440)</f>
        <v/>
      </c>
      <c r="W42" s="8" t="n"/>
      <c r="X42" s="8" t="n"/>
      <c r="Y42" s="8" t="n"/>
      <c r="Z42" s="8" t="n"/>
      <c r="AB42" s="37">
        <f>IF(33*Settings!$C$7&gt;=1440,"",MOD(ROUND((Settings!$C$6+33*Settings!$C$7/1440)*1440,0),1440)/1440)</f>
        <v/>
      </c>
      <c r="AC42" s="8" t="n"/>
      <c r="AD42" s="8" t="n"/>
      <c r="AE42" s="8" t="n"/>
      <c r="AF42" s="8" t="n"/>
      <c r="AH42" s="37">
        <f>IF(33*Settings!$C$7&gt;=1440,"",MOD(ROUND((Settings!$C$6+33*Settings!$C$7/1440)*1440,0),1440)/1440)</f>
        <v/>
      </c>
      <c r="AI42" s="8" t="n"/>
      <c r="AJ42" s="8" t="n"/>
      <c r="AK42" s="8" t="n"/>
      <c r="AL42" s="8" t="n"/>
      <c r="AN42" s="37">
        <f>IF(33*Settings!$C$7&gt;=1440,"",MOD(ROUND((Settings!$C$6+33*Settings!$C$7/1440)*1440,0),1440)/1440)</f>
        <v/>
      </c>
      <c r="AO42" s="8" t="n"/>
      <c r="AP42" s="8" t="n"/>
      <c r="AQ42" s="8" t="n"/>
      <c r="AR42" s="8" t="n"/>
      <c r="AT42" s="37">
        <f>IF(33*Settings!$C$7&gt;=1440,"",MOD(ROUND((Settings!$C$6+33*Settings!$C$7/1440)*1440,0),1440)/1440)</f>
        <v/>
      </c>
      <c r="AU42" s="8" t="n"/>
      <c r="AV42" s="8" t="n"/>
      <c r="AW42" s="8" t="n"/>
      <c r="AX42" s="8" t="n"/>
    </row>
    <row r="43">
      <c r="J43" s="37">
        <f>IF(34*Settings!$C$7&gt;=1440,"",MOD(ROUND((Settings!$C$6+34*Settings!$C$7/1440)*1440,0),1440)/1440)</f>
        <v/>
      </c>
      <c r="K43" s="8" t="n"/>
      <c r="L43" s="8" t="n"/>
      <c r="M43" s="8" t="n"/>
      <c r="N43" s="8" t="n"/>
      <c r="P43" s="37">
        <f>IF(34*Settings!$C$7&gt;=1440,"",MOD(ROUND((Settings!$C$6+34*Settings!$C$7/1440)*1440,0),1440)/1440)</f>
        <v/>
      </c>
      <c r="Q43" s="8" t="n"/>
      <c r="R43" s="8" t="n"/>
      <c r="S43" s="8" t="n"/>
      <c r="T43" s="8" t="n"/>
      <c r="V43" s="37">
        <f>IF(34*Settings!$C$7&gt;=1440,"",MOD(ROUND((Settings!$C$6+34*Settings!$C$7/1440)*1440,0),1440)/1440)</f>
        <v/>
      </c>
      <c r="W43" s="8" t="n"/>
      <c r="X43" s="8" t="n"/>
      <c r="Y43" s="8" t="n"/>
      <c r="Z43" s="8" t="n"/>
      <c r="AB43" s="37">
        <f>IF(34*Settings!$C$7&gt;=1440,"",MOD(ROUND((Settings!$C$6+34*Settings!$C$7/1440)*1440,0),1440)/1440)</f>
        <v/>
      </c>
      <c r="AC43" s="8" t="n"/>
      <c r="AD43" s="8" t="n"/>
      <c r="AE43" s="8" t="n"/>
      <c r="AF43" s="8" t="n"/>
      <c r="AH43" s="37">
        <f>IF(34*Settings!$C$7&gt;=1440,"",MOD(ROUND((Settings!$C$6+34*Settings!$C$7/1440)*1440,0),1440)/1440)</f>
        <v/>
      </c>
      <c r="AI43" s="8" t="n"/>
      <c r="AJ43" s="8" t="n"/>
      <c r="AK43" s="8" t="n"/>
      <c r="AL43" s="8" t="n"/>
      <c r="AN43" s="37">
        <f>IF(34*Settings!$C$7&gt;=1440,"",MOD(ROUND((Settings!$C$6+34*Settings!$C$7/1440)*1440,0),1440)/1440)</f>
        <v/>
      </c>
      <c r="AO43" s="8" t="n"/>
      <c r="AP43" s="8" t="n"/>
      <c r="AQ43" s="8" t="n"/>
      <c r="AR43" s="8" t="n"/>
      <c r="AT43" s="37">
        <f>IF(34*Settings!$C$7&gt;=1440,"",MOD(ROUND((Settings!$C$6+34*Settings!$C$7/1440)*1440,0),1440)/1440)</f>
        <v/>
      </c>
      <c r="AU43" s="8" t="n"/>
      <c r="AV43" s="8" t="n"/>
      <c r="AW43" s="8" t="n"/>
      <c r="AX43" s="8" t="n"/>
    </row>
    <row r="44">
      <c r="J44" s="37">
        <f>IF(35*Settings!$C$7&gt;=1440,"",MOD(ROUND((Settings!$C$6+35*Settings!$C$7/1440)*1440,0),1440)/1440)</f>
        <v/>
      </c>
      <c r="K44" s="8" t="n"/>
      <c r="L44" s="8" t="n"/>
      <c r="M44" s="8" t="n"/>
      <c r="N44" s="8" t="n"/>
      <c r="P44" s="37">
        <f>IF(35*Settings!$C$7&gt;=1440,"",MOD(ROUND((Settings!$C$6+35*Settings!$C$7/1440)*1440,0),1440)/1440)</f>
        <v/>
      </c>
      <c r="Q44" s="8" t="n"/>
      <c r="R44" s="8" t="n"/>
      <c r="S44" s="8" t="n"/>
      <c r="T44" s="8" t="n"/>
      <c r="V44" s="37">
        <f>IF(35*Settings!$C$7&gt;=1440,"",MOD(ROUND((Settings!$C$6+35*Settings!$C$7/1440)*1440,0),1440)/1440)</f>
        <v/>
      </c>
      <c r="W44" s="8" t="n"/>
      <c r="X44" s="8" t="n"/>
      <c r="Y44" s="8" t="n"/>
      <c r="Z44" s="8" t="n"/>
      <c r="AB44" s="37">
        <f>IF(35*Settings!$C$7&gt;=1440,"",MOD(ROUND((Settings!$C$6+35*Settings!$C$7/1440)*1440,0),1440)/1440)</f>
        <v/>
      </c>
      <c r="AC44" s="8" t="n"/>
      <c r="AD44" s="8" t="n"/>
      <c r="AE44" s="8" t="n"/>
      <c r="AF44" s="8" t="n"/>
      <c r="AH44" s="37">
        <f>IF(35*Settings!$C$7&gt;=1440,"",MOD(ROUND((Settings!$C$6+35*Settings!$C$7/1440)*1440,0),1440)/1440)</f>
        <v/>
      </c>
      <c r="AI44" s="8" t="n"/>
      <c r="AJ44" s="8" t="n"/>
      <c r="AK44" s="8" t="n"/>
      <c r="AL44" s="8" t="n"/>
      <c r="AN44" s="37">
        <f>IF(35*Settings!$C$7&gt;=1440,"",MOD(ROUND((Settings!$C$6+35*Settings!$C$7/1440)*1440,0),1440)/1440)</f>
        <v/>
      </c>
      <c r="AO44" s="8" t="n"/>
      <c r="AP44" s="8" t="n"/>
      <c r="AQ44" s="8" t="n"/>
      <c r="AR44" s="8" t="n"/>
      <c r="AT44" s="37">
        <f>IF(35*Settings!$C$7&gt;=1440,"",MOD(ROUND((Settings!$C$6+35*Settings!$C$7/1440)*1440,0),1440)/1440)</f>
        <v/>
      </c>
      <c r="AU44" s="8" t="n"/>
      <c r="AV44" s="8" t="n"/>
      <c r="AW44" s="8" t="n"/>
      <c r="AX44" s="8" t="n"/>
    </row>
    <row r="46">
      <c r="J46" s="6">
        <f>IF(Settings!$C$95="",Settings!$B$95,Settings!$C$95)</f>
        <v/>
      </c>
      <c r="K46" s="6" t="n"/>
      <c r="L46" s="6" t="n"/>
      <c r="M46" s="6" t="n"/>
      <c r="N46" s="6" t="n"/>
      <c r="P46" s="6">
        <f>IF(Settings!$C$95="",Settings!$B$95,Settings!$C$95)</f>
        <v/>
      </c>
      <c r="Q46" s="6" t="n"/>
      <c r="R46" s="6" t="n"/>
      <c r="S46" s="6" t="n"/>
      <c r="T46" s="6" t="n"/>
      <c r="V46" s="6">
        <f>IF(Settings!$C$95="",Settings!$B$95,Settings!$C$95)</f>
        <v/>
      </c>
      <c r="W46" s="6" t="n"/>
      <c r="X46" s="6" t="n"/>
      <c r="Y46" s="6" t="n"/>
      <c r="Z46" s="6" t="n"/>
      <c r="AB46" s="6">
        <f>IF(Settings!$C$95="",Settings!$B$95,Settings!$C$95)</f>
        <v/>
      </c>
      <c r="AC46" s="6" t="n"/>
      <c r="AD46" s="6" t="n"/>
      <c r="AE46" s="6" t="n"/>
      <c r="AF46" s="6" t="n"/>
      <c r="AH46" s="6">
        <f>IF(Settings!$C$95="",Settings!$B$95,Settings!$C$95)</f>
        <v/>
      </c>
      <c r="AI46" s="6" t="n"/>
      <c r="AJ46" s="6" t="n"/>
      <c r="AK46" s="6" t="n"/>
      <c r="AL46" s="6" t="n"/>
      <c r="AN46" s="6">
        <f>IF(Settings!$C$95="",Settings!$B$95,Settings!$C$95)</f>
        <v/>
      </c>
      <c r="AO46" s="6" t="n"/>
      <c r="AP46" s="6" t="n"/>
      <c r="AQ46" s="6" t="n"/>
      <c r="AR46" s="6" t="n"/>
      <c r="AT46" s="6">
        <f>IF(Settings!$C$95="",Settings!$B$95,Settings!$C$95)</f>
        <v/>
      </c>
      <c r="AU46" s="6" t="n"/>
      <c r="AV46" s="6" t="n"/>
      <c r="AW46" s="6" t="n"/>
      <c r="AX46" s="6" t="n"/>
    </row>
    <row r="47">
      <c r="J47" s="14" t="b">
        <v>0</v>
      </c>
      <c r="K47" s="8" t="n"/>
      <c r="L47" s="8" t="n"/>
      <c r="M47" s="8" t="n"/>
      <c r="N47" s="8" t="n"/>
      <c r="P47" s="14" t="b">
        <v>0</v>
      </c>
      <c r="Q47" s="8" t="n"/>
      <c r="R47" s="8" t="n"/>
      <c r="S47" s="8" t="n"/>
      <c r="T47" s="8" t="n"/>
      <c r="V47" s="14" t="b">
        <v>0</v>
      </c>
      <c r="W47" s="8" t="n"/>
      <c r="X47" s="8" t="n"/>
      <c r="Y47" s="8" t="n"/>
      <c r="Z47" s="8" t="n"/>
      <c r="AB47" s="14" t="b">
        <v>0</v>
      </c>
      <c r="AC47" s="8" t="n"/>
      <c r="AD47" s="8" t="n"/>
      <c r="AE47" s="8" t="n"/>
      <c r="AF47" s="8" t="n"/>
      <c r="AH47" s="14" t="b">
        <v>0</v>
      </c>
      <c r="AI47" s="8" t="n"/>
      <c r="AJ47" s="8" t="n"/>
      <c r="AK47" s="8" t="n"/>
      <c r="AL47" s="8" t="n"/>
      <c r="AN47" s="14" t="b">
        <v>0</v>
      </c>
      <c r="AO47" s="8" t="n"/>
      <c r="AP47" s="8" t="n"/>
      <c r="AQ47" s="8" t="n"/>
      <c r="AR47" s="8" t="n"/>
      <c r="AT47" s="14" t="b">
        <v>0</v>
      </c>
      <c r="AU47" s="8" t="n"/>
      <c r="AV47" s="8" t="n"/>
      <c r="AW47" s="8" t="n"/>
      <c r="AX47" s="8" t="n"/>
    </row>
    <row r="48">
      <c r="J48" s="14" t="b">
        <v>0</v>
      </c>
      <c r="K48" s="8" t="n"/>
      <c r="L48" s="8" t="n"/>
      <c r="M48" s="8" t="n"/>
      <c r="N48" s="8" t="n"/>
      <c r="P48" s="14" t="b">
        <v>0</v>
      </c>
      <c r="Q48" s="8" t="n"/>
      <c r="R48" s="8" t="n"/>
      <c r="S48" s="8" t="n"/>
      <c r="T48" s="8" t="n"/>
      <c r="V48" s="14" t="b">
        <v>0</v>
      </c>
      <c r="W48" s="8" t="n"/>
      <c r="X48" s="8" t="n"/>
      <c r="Y48" s="8" t="n"/>
      <c r="Z48" s="8" t="n"/>
      <c r="AB48" s="14" t="b">
        <v>0</v>
      </c>
      <c r="AC48" s="8" t="n"/>
      <c r="AD48" s="8" t="n"/>
      <c r="AE48" s="8" t="n"/>
      <c r="AF48" s="8" t="n"/>
      <c r="AH48" s="14" t="b">
        <v>0</v>
      </c>
      <c r="AI48" s="8" t="n"/>
      <c r="AJ48" s="8" t="n"/>
      <c r="AK48" s="8" t="n"/>
      <c r="AL48" s="8" t="n"/>
      <c r="AN48" s="14" t="b">
        <v>0</v>
      </c>
      <c r="AO48" s="8" t="n"/>
      <c r="AP48" s="8" t="n"/>
      <c r="AQ48" s="8" t="n"/>
      <c r="AR48" s="8" t="n"/>
      <c r="AT48" s="14" t="b">
        <v>0</v>
      </c>
      <c r="AU48" s="8" t="n"/>
      <c r="AV48" s="8" t="n"/>
      <c r="AW48" s="8" t="n"/>
      <c r="AX48" s="8" t="n"/>
    </row>
    <row r="49">
      <c r="J49" s="14" t="b">
        <v>0</v>
      </c>
      <c r="K49" s="8" t="n"/>
      <c r="L49" s="8" t="n"/>
      <c r="M49" s="8" t="n"/>
      <c r="N49" s="8" t="n"/>
      <c r="P49" s="14" t="b">
        <v>0</v>
      </c>
      <c r="Q49" s="8" t="n"/>
      <c r="R49" s="8" t="n"/>
      <c r="S49" s="8" t="n"/>
      <c r="T49" s="8" t="n"/>
      <c r="V49" s="14" t="b">
        <v>0</v>
      </c>
      <c r="W49" s="8" t="n"/>
      <c r="X49" s="8" t="n"/>
      <c r="Y49" s="8" t="n"/>
      <c r="Z49" s="8" t="n"/>
      <c r="AB49" s="14" t="b">
        <v>0</v>
      </c>
      <c r="AC49" s="8" t="n"/>
      <c r="AD49" s="8" t="n"/>
      <c r="AE49" s="8" t="n"/>
      <c r="AF49" s="8" t="n"/>
      <c r="AH49" s="14" t="b">
        <v>0</v>
      </c>
      <c r="AI49" s="8" t="n"/>
      <c r="AJ49" s="8" t="n"/>
      <c r="AK49" s="8" t="n"/>
      <c r="AL49" s="8" t="n"/>
      <c r="AN49" s="14" t="b">
        <v>0</v>
      </c>
      <c r="AO49" s="8" t="n"/>
      <c r="AP49" s="8" t="n"/>
      <c r="AQ49" s="8" t="n"/>
      <c r="AR49" s="8" t="n"/>
      <c r="AT49" s="14" t="b">
        <v>0</v>
      </c>
      <c r="AU49" s="8" t="n"/>
      <c r="AV49" s="8" t="n"/>
      <c r="AW49" s="8" t="n"/>
      <c r="AX49" s="8" t="n"/>
    </row>
    <row r="50">
      <c r="J50" s="14" t="b">
        <v>0</v>
      </c>
      <c r="K50" s="8" t="n"/>
      <c r="L50" s="8" t="n"/>
      <c r="M50" s="8" t="n"/>
      <c r="N50" s="8" t="n"/>
      <c r="P50" s="14" t="b">
        <v>0</v>
      </c>
      <c r="Q50" s="8" t="n"/>
      <c r="R50" s="8" t="n"/>
      <c r="S50" s="8" t="n"/>
      <c r="T50" s="8" t="n"/>
      <c r="V50" s="14" t="b">
        <v>0</v>
      </c>
      <c r="W50" s="8" t="n"/>
      <c r="X50" s="8" t="n"/>
      <c r="Y50" s="8" t="n"/>
      <c r="Z50" s="8" t="n"/>
      <c r="AB50" s="14" t="b">
        <v>0</v>
      </c>
      <c r="AC50" s="8" t="n"/>
      <c r="AD50" s="8" t="n"/>
      <c r="AE50" s="8" t="n"/>
      <c r="AF50" s="8" t="n"/>
      <c r="AH50" s="14" t="b">
        <v>0</v>
      </c>
      <c r="AI50" s="8" t="n"/>
      <c r="AJ50" s="8" t="n"/>
      <c r="AK50" s="8" t="n"/>
      <c r="AL50" s="8" t="n"/>
      <c r="AN50" s="14" t="b">
        <v>0</v>
      </c>
      <c r="AO50" s="8" t="n"/>
      <c r="AP50" s="8" t="n"/>
      <c r="AQ50" s="8" t="n"/>
      <c r="AR50" s="8" t="n"/>
      <c r="AT50" s="14" t="b">
        <v>0</v>
      </c>
      <c r="AU50" s="8" t="n"/>
      <c r="AV50" s="8" t="n"/>
      <c r="AW50" s="8" t="n"/>
      <c r="AX50" s="8" t="n"/>
    </row>
    <row r="51">
      <c r="J51" s="14" t="b">
        <v>0</v>
      </c>
      <c r="K51" s="8" t="n"/>
      <c r="L51" s="8" t="n"/>
      <c r="M51" s="8" t="n"/>
      <c r="N51" s="8" t="n"/>
      <c r="P51" s="14" t="b">
        <v>0</v>
      </c>
      <c r="Q51" s="8" t="n"/>
      <c r="R51" s="8" t="n"/>
      <c r="S51" s="8" t="n"/>
      <c r="T51" s="8" t="n"/>
      <c r="V51" s="14" t="b">
        <v>0</v>
      </c>
      <c r="W51" s="8" t="n"/>
      <c r="X51" s="8" t="n"/>
      <c r="Y51" s="8" t="n"/>
      <c r="Z51" s="8" t="n"/>
      <c r="AB51" s="14" t="b">
        <v>0</v>
      </c>
      <c r="AC51" s="8" t="n"/>
      <c r="AD51" s="8" t="n"/>
      <c r="AE51" s="8" t="n"/>
      <c r="AF51" s="8" t="n"/>
      <c r="AH51" s="14" t="b">
        <v>0</v>
      </c>
      <c r="AI51" s="8" t="n"/>
      <c r="AJ51" s="8" t="n"/>
      <c r="AK51" s="8" t="n"/>
      <c r="AL51" s="8" t="n"/>
      <c r="AN51" s="14" t="b">
        <v>0</v>
      </c>
      <c r="AO51" s="8" t="n"/>
      <c r="AP51" s="8" t="n"/>
      <c r="AQ51" s="8" t="n"/>
      <c r="AR51" s="8" t="n"/>
      <c r="AT51" s="14" t="b">
        <v>0</v>
      </c>
      <c r="AU51" s="8" t="n"/>
      <c r="AV51" s="8" t="n"/>
      <c r="AW51" s="8" t="n"/>
      <c r="AX51" s="8" t="n"/>
    </row>
    <row r="52">
      <c r="J52" s="14" t="b">
        <v>0</v>
      </c>
      <c r="K52" s="8" t="n"/>
      <c r="L52" s="8" t="n"/>
      <c r="M52" s="8" t="n"/>
      <c r="N52" s="8" t="n"/>
      <c r="P52" s="14" t="b">
        <v>0</v>
      </c>
      <c r="Q52" s="8" t="n"/>
      <c r="R52" s="8" t="n"/>
      <c r="S52" s="8" t="n"/>
      <c r="T52" s="8" t="n"/>
      <c r="V52" s="14" t="b">
        <v>0</v>
      </c>
      <c r="W52" s="8" t="n"/>
      <c r="X52" s="8" t="n"/>
      <c r="Y52" s="8" t="n"/>
      <c r="Z52" s="8" t="n"/>
      <c r="AB52" s="14" t="b">
        <v>0</v>
      </c>
      <c r="AC52" s="8" t="n"/>
      <c r="AD52" s="8" t="n"/>
      <c r="AE52" s="8" t="n"/>
      <c r="AF52" s="8" t="n"/>
      <c r="AH52" s="14" t="b">
        <v>0</v>
      </c>
      <c r="AI52" s="8" t="n"/>
      <c r="AJ52" s="8" t="n"/>
      <c r="AK52" s="8" t="n"/>
      <c r="AL52" s="8" t="n"/>
      <c r="AN52" s="14" t="b">
        <v>0</v>
      </c>
      <c r="AO52" s="8" t="n"/>
      <c r="AP52" s="8" t="n"/>
      <c r="AQ52" s="8" t="n"/>
      <c r="AR52" s="8" t="n"/>
      <c r="AT52" s="14" t="b">
        <v>0</v>
      </c>
      <c r="AU52" s="8" t="n"/>
      <c r="AV52" s="8" t="n"/>
      <c r="AW52" s="8" t="n"/>
      <c r="AX52" s="8" t="n"/>
    </row>
    <row r="53">
      <c r="J53" s="14" t="b">
        <v>0</v>
      </c>
      <c r="K53" s="8" t="n"/>
      <c r="L53" s="8" t="n"/>
      <c r="M53" s="8" t="n"/>
      <c r="N53" s="8" t="n"/>
      <c r="P53" s="14" t="b">
        <v>0</v>
      </c>
      <c r="Q53" s="8" t="n"/>
      <c r="R53" s="8" t="n"/>
      <c r="S53" s="8" t="n"/>
      <c r="T53" s="8" t="n"/>
      <c r="V53" s="14" t="b">
        <v>0</v>
      </c>
      <c r="W53" s="8" t="n"/>
      <c r="X53" s="8" t="n"/>
      <c r="Y53" s="8" t="n"/>
      <c r="Z53" s="8" t="n"/>
      <c r="AB53" s="14" t="b">
        <v>0</v>
      </c>
      <c r="AC53" s="8" t="n"/>
      <c r="AD53" s="8" t="n"/>
      <c r="AE53" s="8" t="n"/>
      <c r="AF53" s="8" t="n"/>
      <c r="AH53" s="14" t="b">
        <v>0</v>
      </c>
      <c r="AI53" s="8" t="n"/>
      <c r="AJ53" s="8" t="n"/>
      <c r="AK53" s="8" t="n"/>
      <c r="AL53" s="8" t="n"/>
      <c r="AN53" s="14" t="b">
        <v>0</v>
      </c>
      <c r="AO53" s="8" t="n"/>
      <c r="AP53" s="8" t="n"/>
      <c r="AQ53" s="8" t="n"/>
      <c r="AR53" s="8" t="n"/>
      <c r="AT53" s="14" t="b">
        <v>0</v>
      </c>
      <c r="AU53" s="8" t="n"/>
      <c r="AV53" s="8" t="n"/>
      <c r="AW53" s="8" t="n"/>
      <c r="AX53" s="8" t="n"/>
    </row>
    <row r="54">
      <c r="J54" s="14" t="b">
        <v>0</v>
      </c>
      <c r="K54" s="8" t="n"/>
      <c r="L54" s="8" t="n"/>
      <c r="M54" s="8" t="n"/>
      <c r="N54" s="8" t="n"/>
      <c r="P54" s="14" t="b">
        <v>0</v>
      </c>
      <c r="Q54" s="8" t="n"/>
      <c r="R54" s="8" t="n"/>
      <c r="S54" s="8" t="n"/>
      <c r="T54" s="8" t="n"/>
      <c r="V54" s="14" t="b">
        <v>0</v>
      </c>
      <c r="W54" s="8" t="n"/>
      <c r="X54" s="8" t="n"/>
      <c r="Y54" s="8" t="n"/>
      <c r="Z54" s="8" t="n"/>
      <c r="AB54" s="14" t="b">
        <v>0</v>
      </c>
      <c r="AC54" s="8" t="n"/>
      <c r="AD54" s="8" t="n"/>
      <c r="AE54" s="8" t="n"/>
      <c r="AF54" s="8" t="n"/>
      <c r="AH54" s="14" t="b">
        <v>0</v>
      </c>
      <c r="AI54" s="8" t="n"/>
      <c r="AJ54" s="8" t="n"/>
      <c r="AK54" s="8" t="n"/>
      <c r="AL54" s="8" t="n"/>
      <c r="AN54" s="14" t="b">
        <v>0</v>
      </c>
      <c r="AO54" s="8" t="n"/>
      <c r="AP54" s="8" t="n"/>
      <c r="AQ54" s="8" t="n"/>
      <c r="AR54" s="8" t="n"/>
      <c r="AT54" s="14" t="b">
        <v>0</v>
      </c>
      <c r="AU54" s="8" t="n"/>
      <c r="AV54" s="8" t="n"/>
      <c r="AW54" s="8" t="n"/>
      <c r="AX54" s="8" t="n"/>
    </row>
    <row r="55">
      <c r="J55" s="14" t="b">
        <v>0</v>
      </c>
      <c r="K55" s="8" t="n"/>
      <c r="L55" s="8" t="n"/>
      <c r="M55" s="8" t="n"/>
      <c r="N55" s="8" t="n"/>
      <c r="P55" s="14" t="b">
        <v>0</v>
      </c>
      <c r="Q55" s="8" t="n"/>
      <c r="R55" s="8" t="n"/>
      <c r="S55" s="8" t="n"/>
      <c r="T55" s="8" t="n"/>
      <c r="V55" s="14" t="b">
        <v>0</v>
      </c>
      <c r="W55" s="8" t="n"/>
      <c r="X55" s="8" t="n"/>
      <c r="Y55" s="8" t="n"/>
      <c r="Z55" s="8" t="n"/>
      <c r="AB55" s="14" t="b">
        <v>0</v>
      </c>
      <c r="AC55" s="8" t="n"/>
      <c r="AD55" s="8" t="n"/>
      <c r="AE55" s="8" t="n"/>
      <c r="AF55" s="8" t="n"/>
      <c r="AH55" s="14" t="b">
        <v>0</v>
      </c>
      <c r="AI55" s="8" t="n"/>
      <c r="AJ55" s="8" t="n"/>
      <c r="AK55" s="8" t="n"/>
      <c r="AL55" s="8" t="n"/>
      <c r="AN55" s="14" t="b">
        <v>0</v>
      </c>
      <c r="AO55" s="8" t="n"/>
      <c r="AP55" s="8" t="n"/>
      <c r="AQ55" s="8" t="n"/>
      <c r="AR55" s="8" t="n"/>
      <c r="AT55" s="14" t="b">
        <v>0</v>
      </c>
      <c r="AU55" s="8" t="n"/>
      <c r="AV55" s="8" t="n"/>
      <c r="AW55" s="8" t="n"/>
      <c r="AX55" s="8" t="n"/>
    </row>
    <row r="56">
      <c r="J56" s="14" t="b">
        <v>0</v>
      </c>
      <c r="K56" s="8" t="n"/>
      <c r="L56" s="8" t="n"/>
      <c r="M56" s="8" t="n"/>
      <c r="N56" s="8" t="n"/>
      <c r="P56" s="14" t="b">
        <v>0</v>
      </c>
      <c r="Q56" s="8" t="n"/>
      <c r="R56" s="8" t="n"/>
      <c r="S56" s="8" t="n"/>
      <c r="T56" s="8" t="n"/>
      <c r="V56" s="14" t="b">
        <v>0</v>
      </c>
      <c r="W56" s="8" t="n"/>
      <c r="X56" s="8" t="n"/>
      <c r="Y56" s="8" t="n"/>
      <c r="Z56" s="8" t="n"/>
      <c r="AB56" s="14" t="b">
        <v>0</v>
      </c>
      <c r="AC56" s="8" t="n"/>
      <c r="AD56" s="8" t="n"/>
      <c r="AE56" s="8" t="n"/>
      <c r="AF56" s="8" t="n"/>
      <c r="AH56" s="14" t="b">
        <v>0</v>
      </c>
      <c r="AI56" s="8" t="n"/>
      <c r="AJ56" s="8" t="n"/>
      <c r="AK56" s="8" t="n"/>
      <c r="AL56" s="8" t="n"/>
      <c r="AN56" s="14" t="b">
        <v>0</v>
      </c>
      <c r="AO56" s="8" t="n"/>
      <c r="AP56" s="8" t="n"/>
      <c r="AQ56" s="8" t="n"/>
      <c r="AR56" s="8" t="n"/>
      <c r="AT56" s="14" t="b">
        <v>0</v>
      </c>
      <c r="AU56" s="8" t="n"/>
      <c r="AV56" s="8" t="n"/>
      <c r="AW56" s="8" t="n"/>
      <c r="AX56" s="8" t="n"/>
    </row>
    <row r="58">
      <c r="J58" s="6">
        <f>IF(Settings!$C$99="",Settings!$B$99,Settings!$C$99)</f>
        <v/>
      </c>
      <c r="K58" s="6" t="n"/>
      <c r="L58" s="6" t="n"/>
      <c r="M58" s="6" t="n"/>
      <c r="N58" s="6" t="n"/>
      <c r="P58" s="6">
        <f>IF(Settings!$C$99="",Settings!$B$99,Settings!$C$99)</f>
        <v/>
      </c>
      <c r="Q58" s="6" t="n"/>
      <c r="R58" s="6" t="n"/>
      <c r="S58" s="6" t="n"/>
      <c r="T58" s="6" t="n"/>
      <c r="V58" s="6">
        <f>IF(Settings!$C$99="",Settings!$B$99,Settings!$C$99)</f>
        <v/>
      </c>
      <c r="W58" s="6" t="n"/>
      <c r="X58" s="6" t="n"/>
      <c r="Y58" s="6" t="n"/>
      <c r="Z58" s="6" t="n"/>
      <c r="AB58" s="6">
        <f>IF(Settings!$C$99="",Settings!$B$99,Settings!$C$99)</f>
        <v/>
      </c>
      <c r="AC58" s="6" t="n"/>
      <c r="AD58" s="6" t="n"/>
      <c r="AE58" s="6" t="n"/>
      <c r="AF58" s="6" t="n"/>
      <c r="AH58" s="6">
        <f>IF(Settings!$C$99="",Settings!$B$99,Settings!$C$99)</f>
        <v/>
      </c>
      <c r="AI58" s="6" t="n"/>
      <c r="AJ58" s="6" t="n"/>
      <c r="AK58" s="6" t="n"/>
      <c r="AL58" s="6" t="n"/>
      <c r="AN58" s="6">
        <f>IF(Settings!$C$99="",Settings!$B$99,Settings!$C$99)</f>
        <v/>
      </c>
      <c r="AO58" s="6" t="n"/>
      <c r="AP58" s="6" t="n"/>
      <c r="AQ58" s="6" t="n"/>
      <c r="AR58" s="6" t="n"/>
      <c r="AT58" s="6">
        <f>IF(Settings!$C$99="",Settings!$B$99,Settings!$C$99)</f>
        <v/>
      </c>
      <c r="AU58" s="6" t="n"/>
      <c r="AV58" s="6" t="n"/>
      <c r="AW58" s="6" t="n"/>
      <c r="AX58" s="6" t="n"/>
    </row>
    <row r="59">
      <c r="J59" s="8" t="n"/>
      <c r="K59" s="8" t="n"/>
      <c r="L59" s="8" t="n"/>
      <c r="M59" s="8" t="n"/>
      <c r="N59" s="8" t="n"/>
      <c r="P59" s="8" t="n"/>
      <c r="Q59" s="8" t="n"/>
      <c r="R59" s="8" t="n"/>
      <c r="S59" s="8" t="n"/>
      <c r="T59" s="8" t="n"/>
      <c r="V59" s="8" t="n"/>
      <c r="W59" s="8" t="n"/>
      <c r="X59" s="8" t="n"/>
      <c r="Y59" s="8" t="n"/>
      <c r="Z59" s="8" t="n"/>
      <c r="AB59" s="8" t="n"/>
      <c r="AC59" s="8" t="n"/>
      <c r="AD59" s="8" t="n"/>
      <c r="AE59" s="8" t="n"/>
      <c r="AF59" s="8" t="n"/>
      <c r="AH59" s="8" t="n"/>
      <c r="AI59" s="8" t="n"/>
      <c r="AJ59" s="8" t="n"/>
      <c r="AK59" s="8" t="n"/>
      <c r="AL59" s="8" t="n"/>
      <c r="AN59" s="8" t="n"/>
      <c r="AO59" s="8" t="n"/>
      <c r="AP59" s="8" t="n"/>
      <c r="AQ59" s="8" t="n"/>
      <c r="AR59" s="8" t="n"/>
      <c r="AT59" s="8" t="n"/>
      <c r="AU59" s="8" t="n"/>
      <c r="AV59" s="8" t="n"/>
      <c r="AW59" s="8" t="n"/>
      <c r="AX59" s="8" t="n"/>
    </row>
    <row r="60">
      <c r="J60" s="8" t="n"/>
      <c r="K60" s="8" t="n"/>
      <c r="L60" s="8" t="n"/>
      <c r="M60" s="8" t="n"/>
      <c r="N60" s="8" t="n"/>
      <c r="P60" s="8" t="n"/>
      <c r="Q60" s="8" t="n"/>
      <c r="R60" s="8" t="n"/>
      <c r="S60" s="8" t="n"/>
      <c r="T60" s="8" t="n"/>
      <c r="V60" s="8" t="n"/>
      <c r="W60" s="8" t="n"/>
      <c r="X60" s="8" t="n"/>
      <c r="Y60" s="8" t="n"/>
      <c r="Z60" s="8" t="n"/>
      <c r="AB60" s="8" t="n"/>
      <c r="AC60" s="8" t="n"/>
      <c r="AD60" s="8" t="n"/>
      <c r="AE60" s="8" t="n"/>
      <c r="AF60" s="8" t="n"/>
      <c r="AH60" s="8" t="n"/>
      <c r="AI60" s="8" t="n"/>
      <c r="AJ60" s="8" t="n"/>
      <c r="AK60" s="8" t="n"/>
      <c r="AL60" s="8" t="n"/>
      <c r="AN60" s="8" t="n"/>
      <c r="AO60" s="8" t="n"/>
      <c r="AP60" s="8" t="n"/>
      <c r="AQ60" s="8" t="n"/>
      <c r="AR60" s="8" t="n"/>
      <c r="AT60" s="8" t="n"/>
      <c r="AU60" s="8" t="n"/>
      <c r="AV60" s="8" t="n"/>
      <c r="AW60" s="8" t="n"/>
      <c r="AX60" s="8" t="n"/>
    </row>
    <row r="61">
      <c r="J61" s="8" t="n"/>
      <c r="K61" s="8" t="n"/>
      <c r="L61" s="8" t="n"/>
      <c r="M61" s="8" t="n"/>
      <c r="N61" s="8" t="n"/>
      <c r="P61" s="8" t="n"/>
      <c r="Q61" s="8" t="n"/>
      <c r="R61" s="8" t="n"/>
      <c r="S61" s="8" t="n"/>
      <c r="T61" s="8" t="n"/>
      <c r="V61" s="8" t="n"/>
      <c r="W61" s="8" t="n"/>
      <c r="X61" s="8" t="n"/>
      <c r="Y61" s="8" t="n"/>
      <c r="Z61" s="8" t="n"/>
      <c r="AB61" s="8" t="n"/>
      <c r="AC61" s="8" t="n"/>
      <c r="AD61" s="8" t="n"/>
      <c r="AE61" s="8" t="n"/>
      <c r="AF61" s="8" t="n"/>
      <c r="AH61" s="8" t="n"/>
      <c r="AI61" s="8" t="n"/>
      <c r="AJ61" s="8" t="n"/>
      <c r="AK61" s="8" t="n"/>
      <c r="AL61" s="8" t="n"/>
      <c r="AN61" s="8" t="n"/>
      <c r="AO61" s="8" t="n"/>
      <c r="AP61" s="8" t="n"/>
      <c r="AQ61" s="8" t="n"/>
      <c r="AR61" s="8" t="n"/>
      <c r="AT61" s="8" t="n"/>
      <c r="AU61" s="8" t="n"/>
      <c r="AV61" s="8" t="n"/>
      <c r="AW61" s="8" t="n"/>
      <c r="AX61" s="8" t="n"/>
    </row>
    <row r="62">
      <c r="J62" s="8" t="n"/>
      <c r="K62" s="8" t="n"/>
      <c r="L62" s="8" t="n"/>
      <c r="M62" s="8" t="n"/>
      <c r="N62" s="8" t="n"/>
      <c r="P62" s="8" t="n"/>
      <c r="Q62" s="8" t="n"/>
      <c r="R62" s="8" t="n"/>
      <c r="S62" s="8" t="n"/>
      <c r="T62" s="8" t="n"/>
      <c r="V62" s="8" t="n"/>
      <c r="W62" s="8" t="n"/>
      <c r="X62" s="8" t="n"/>
      <c r="Y62" s="8" t="n"/>
      <c r="Z62" s="8" t="n"/>
      <c r="AB62" s="8" t="n"/>
      <c r="AC62" s="8" t="n"/>
      <c r="AD62" s="8" t="n"/>
      <c r="AE62" s="8" t="n"/>
      <c r="AF62" s="8" t="n"/>
      <c r="AH62" s="8" t="n"/>
      <c r="AI62" s="8" t="n"/>
      <c r="AJ62" s="8" t="n"/>
      <c r="AK62" s="8" t="n"/>
      <c r="AL62" s="8" t="n"/>
      <c r="AN62" s="8" t="n"/>
      <c r="AO62" s="8" t="n"/>
      <c r="AP62" s="8" t="n"/>
      <c r="AQ62" s="8" t="n"/>
      <c r="AR62" s="8" t="n"/>
      <c r="AT62" s="8" t="n"/>
      <c r="AU62" s="8" t="n"/>
      <c r="AV62" s="8" t="n"/>
      <c r="AW62" s="8" t="n"/>
      <c r="AX62" s="8" t="n"/>
    </row>
    <row r="63">
      <c r="J63" s="8" t="n"/>
      <c r="K63" s="8" t="n"/>
      <c r="L63" s="8" t="n"/>
      <c r="M63" s="8" t="n"/>
      <c r="N63" s="8" t="n"/>
      <c r="P63" s="8" t="n"/>
      <c r="Q63" s="8" t="n"/>
      <c r="R63" s="8" t="n"/>
      <c r="S63" s="8" t="n"/>
      <c r="T63" s="8" t="n"/>
      <c r="V63" s="8" t="n"/>
      <c r="W63" s="8" t="n"/>
      <c r="X63" s="8" t="n"/>
      <c r="Y63" s="8" t="n"/>
      <c r="Z63" s="8" t="n"/>
      <c r="AB63" s="8" t="n"/>
      <c r="AC63" s="8" t="n"/>
      <c r="AD63" s="8" t="n"/>
      <c r="AE63" s="8" t="n"/>
      <c r="AF63" s="8" t="n"/>
      <c r="AH63" s="8" t="n"/>
      <c r="AI63" s="8" t="n"/>
      <c r="AJ63" s="8" t="n"/>
      <c r="AK63" s="8" t="n"/>
      <c r="AL63" s="8" t="n"/>
      <c r="AN63" s="8" t="n"/>
      <c r="AO63" s="8" t="n"/>
      <c r="AP63" s="8" t="n"/>
      <c r="AQ63" s="8" t="n"/>
      <c r="AR63" s="8" t="n"/>
      <c r="AT63" s="8" t="n"/>
      <c r="AU63" s="8" t="n"/>
      <c r="AV63" s="8" t="n"/>
      <c r="AW63" s="8" t="n"/>
      <c r="AX63" s="8" t="n"/>
    </row>
    <row r="65">
      <c r="J65" s="6">
        <f>IF(Settings!$C$97="",Settings!$B$97,Settings!$C$97)</f>
        <v/>
      </c>
      <c r="K65" s="6" t="n"/>
      <c r="L65" s="6" t="n"/>
      <c r="M65" s="6" t="n"/>
      <c r="N65" s="6" t="n"/>
      <c r="P65" s="6">
        <f>IF(Settings!$C$97="",Settings!$B$97,Settings!$C$97)</f>
        <v/>
      </c>
      <c r="Q65" s="6" t="n"/>
      <c r="R65" s="6" t="n"/>
      <c r="S65" s="6" t="n"/>
      <c r="T65" s="6" t="n"/>
      <c r="V65" s="6">
        <f>IF(Settings!$C$97="",Settings!$B$97,Settings!$C$97)</f>
        <v/>
      </c>
      <c r="W65" s="6" t="n"/>
      <c r="X65" s="6" t="n"/>
      <c r="Y65" s="6" t="n"/>
      <c r="Z65" s="6" t="n"/>
      <c r="AB65" s="6">
        <f>IF(Settings!$C$97="",Settings!$B$97,Settings!$C$97)</f>
        <v/>
      </c>
      <c r="AC65" s="6" t="n"/>
      <c r="AD65" s="6" t="n"/>
      <c r="AE65" s="6" t="n"/>
      <c r="AF65" s="6" t="n"/>
      <c r="AH65" s="6">
        <f>IF(Settings!$C$97="",Settings!$B$97,Settings!$C$97)</f>
        <v/>
      </c>
      <c r="AI65" s="6" t="n"/>
      <c r="AJ65" s="6" t="n"/>
      <c r="AK65" s="6" t="n"/>
      <c r="AL65" s="6" t="n"/>
      <c r="AN65" s="6">
        <f>IF(Settings!$C$97="",Settings!$B$97,Settings!$C$97)</f>
        <v/>
      </c>
      <c r="AO65" s="6" t="n"/>
      <c r="AP65" s="6" t="n"/>
      <c r="AQ65" s="6" t="n"/>
      <c r="AR65" s="6" t="n"/>
      <c r="AT65" s="6">
        <f>IF(Settings!$C$97="",Settings!$B$97,Settings!$C$97)</f>
        <v/>
      </c>
      <c r="AU65" s="6" t="n"/>
      <c r="AV65" s="6" t="n"/>
      <c r="AW65" s="6" t="n"/>
      <c r="AX65" s="6" t="n"/>
    </row>
    <row r="66">
      <c r="J66" s="8" t="n"/>
      <c r="K66" s="8" t="n"/>
      <c r="L66" s="8" t="n"/>
      <c r="M66" s="8" t="n"/>
      <c r="N66" s="8" t="n"/>
      <c r="P66" s="8" t="n"/>
      <c r="Q66" s="8" t="n"/>
      <c r="R66" s="8" t="n"/>
      <c r="S66" s="8" t="n"/>
      <c r="T66" s="8" t="n"/>
      <c r="V66" s="8" t="n"/>
      <c r="W66" s="8" t="n"/>
      <c r="X66" s="8" t="n"/>
      <c r="Y66" s="8" t="n"/>
      <c r="Z66" s="8" t="n"/>
      <c r="AB66" s="8" t="n"/>
      <c r="AC66" s="8" t="n"/>
      <c r="AD66" s="8" t="n"/>
      <c r="AE66" s="8" t="n"/>
      <c r="AF66" s="8" t="n"/>
      <c r="AH66" s="8" t="n"/>
      <c r="AI66" s="8" t="n"/>
      <c r="AJ66" s="8" t="n"/>
      <c r="AK66" s="8" t="n"/>
      <c r="AL66" s="8" t="n"/>
      <c r="AN66" s="8" t="n"/>
      <c r="AO66" s="8" t="n"/>
      <c r="AP66" s="8" t="n"/>
      <c r="AQ66" s="8" t="n"/>
      <c r="AR66" s="8" t="n"/>
      <c r="AT66" s="8" t="n"/>
      <c r="AU66" s="8" t="n"/>
      <c r="AV66" s="8" t="n"/>
      <c r="AW66" s="8" t="n"/>
      <c r="AX66" s="8" t="n"/>
    </row>
    <row r="67">
      <c r="J67" s="8" t="n"/>
      <c r="K67" s="8" t="n"/>
      <c r="L67" s="8" t="n"/>
      <c r="M67" s="8" t="n"/>
      <c r="N67" s="8" t="n"/>
      <c r="P67" s="8" t="n"/>
      <c r="Q67" s="8" t="n"/>
      <c r="R67" s="8" t="n"/>
      <c r="S67" s="8" t="n"/>
      <c r="T67" s="8" t="n"/>
      <c r="V67" s="8" t="n"/>
      <c r="W67" s="8" t="n"/>
      <c r="X67" s="8" t="n"/>
      <c r="Y67" s="8" t="n"/>
      <c r="Z67" s="8" t="n"/>
      <c r="AB67" s="8" t="n"/>
      <c r="AC67" s="8" t="n"/>
      <c r="AD67" s="8" t="n"/>
      <c r="AE67" s="8" t="n"/>
      <c r="AF67" s="8" t="n"/>
      <c r="AH67" s="8" t="n"/>
      <c r="AI67" s="8" t="n"/>
      <c r="AJ67" s="8" t="n"/>
      <c r="AK67" s="8" t="n"/>
      <c r="AL67" s="8" t="n"/>
      <c r="AN67" s="8" t="n"/>
      <c r="AO67" s="8" t="n"/>
      <c r="AP67" s="8" t="n"/>
      <c r="AQ67" s="8" t="n"/>
      <c r="AR67" s="8" t="n"/>
      <c r="AT67" s="8" t="n"/>
      <c r="AU67" s="8" t="n"/>
      <c r="AV67" s="8" t="n"/>
      <c r="AW67" s="8" t="n"/>
      <c r="AX67" s="8" t="n"/>
    </row>
    <row r="68">
      <c r="J68" s="8" t="n"/>
      <c r="K68" s="8" t="n"/>
      <c r="L68" s="8" t="n"/>
      <c r="M68" s="8" t="n"/>
      <c r="N68" s="8" t="n"/>
      <c r="P68" s="8" t="n"/>
      <c r="Q68" s="8" t="n"/>
      <c r="R68" s="8" t="n"/>
      <c r="S68" s="8" t="n"/>
      <c r="T68" s="8" t="n"/>
      <c r="V68" s="8" t="n"/>
      <c r="W68" s="8" t="n"/>
      <c r="X68" s="8" t="n"/>
      <c r="Y68" s="8" t="n"/>
      <c r="Z68" s="8" t="n"/>
      <c r="AB68" s="8" t="n"/>
      <c r="AC68" s="8" t="n"/>
      <c r="AD68" s="8" t="n"/>
      <c r="AE68" s="8" t="n"/>
      <c r="AF68" s="8" t="n"/>
      <c r="AH68" s="8" t="n"/>
      <c r="AI68" s="8" t="n"/>
      <c r="AJ68" s="8" t="n"/>
      <c r="AK68" s="8" t="n"/>
      <c r="AL68" s="8" t="n"/>
      <c r="AN68" s="8" t="n"/>
      <c r="AO68" s="8" t="n"/>
      <c r="AP68" s="8" t="n"/>
      <c r="AQ68" s="8" t="n"/>
      <c r="AR68" s="8" t="n"/>
      <c r="AT68" s="8" t="n"/>
      <c r="AU68" s="8" t="n"/>
      <c r="AV68" s="8" t="n"/>
      <c r="AW68" s="8" t="n"/>
      <c r="AX68" s="8" t="n"/>
    </row>
    <row r="69">
      <c r="J69" s="8" t="n"/>
      <c r="K69" s="8" t="n"/>
      <c r="L69" s="8" t="n"/>
      <c r="M69" s="8" t="n"/>
      <c r="N69" s="8" t="n"/>
      <c r="P69" s="8" t="n"/>
      <c r="Q69" s="8" t="n"/>
      <c r="R69" s="8" t="n"/>
      <c r="S69" s="8" t="n"/>
      <c r="T69" s="8" t="n"/>
      <c r="V69" s="8" t="n"/>
      <c r="W69" s="8" t="n"/>
      <c r="X69" s="8" t="n"/>
      <c r="Y69" s="8" t="n"/>
      <c r="Z69" s="8" t="n"/>
      <c r="AB69" s="8" t="n"/>
      <c r="AC69" s="8" t="n"/>
      <c r="AD69" s="8" t="n"/>
      <c r="AE69" s="8" t="n"/>
      <c r="AF69" s="8" t="n"/>
      <c r="AH69" s="8" t="n"/>
      <c r="AI69" s="8" t="n"/>
      <c r="AJ69" s="8" t="n"/>
      <c r="AK69" s="8" t="n"/>
      <c r="AL69" s="8" t="n"/>
      <c r="AN69" s="8" t="n"/>
      <c r="AO69" s="8" t="n"/>
      <c r="AP69" s="8" t="n"/>
      <c r="AQ69" s="8" t="n"/>
      <c r="AR69" s="8" t="n"/>
      <c r="AT69" s="8" t="n"/>
      <c r="AU69" s="8" t="n"/>
      <c r="AV69" s="8" t="n"/>
      <c r="AW69" s="8" t="n"/>
      <c r="AX69" s="8" t="n"/>
    </row>
    <row r="70">
      <c r="J70" s="8" t="n"/>
      <c r="K70" s="8" t="n"/>
      <c r="L70" s="8" t="n"/>
      <c r="M70" s="8" t="n"/>
      <c r="N70" s="8" t="n"/>
      <c r="P70" s="8" t="n"/>
      <c r="Q70" s="8" t="n"/>
      <c r="R70" s="8" t="n"/>
      <c r="S70" s="8" t="n"/>
      <c r="T70" s="8" t="n"/>
      <c r="V70" s="8" t="n"/>
      <c r="W70" s="8" t="n"/>
      <c r="X70" s="8" t="n"/>
      <c r="Y70" s="8" t="n"/>
      <c r="Z70" s="8" t="n"/>
      <c r="AB70" s="8" t="n"/>
      <c r="AC70" s="8" t="n"/>
      <c r="AD70" s="8" t="n"/>
      <c r="AE70" s="8" t="n"/>
      <c r="AF70" s="8" t="n"/>
      <c r="AH70" s="8" t="n"/>
      <c r="AI70" s="8" t="n"/>
      <c r="AJ70" s="8" t="n"/>
      <c r="AK70" s="8" t="n"/>
      <c r="AL70" s="8" t="n"/>
      <c r="AN70" s="8" t="n"/>
      <c r="AO70" s="8" t="n"/>
      <c r="AP70" s="8" t="n"/>
      <c r="AQ70" s="8" t="n"/>
      <c r="AR70" s="8" t="n"/>
      <c r="AT70" s="8" t="n"/>
      <c r="AU70" s="8" t="n"/>
      <c r="AV70" s="8" t="n"/>
      <c r="AW70" s="8" t="n"/>
      <c r="AX70" s="8" t="n"/>
    </row>
    <row r="71">
      <c r="J71" s="8" t="n"/>
      <c r="K71" s="8" t="n"/>
      <c r="L71" s="8" t="n"/>
      <c r="M71" s="8" t="n"/>
      <c r="N71" s="8" t="n"/>
      <c r="P71" s="8" t="n"/>
      <c r="Q71" s="8" t="n"/>
      <c r="R71" s="8" t="n"/>
      <c r="S71" s="8" t="n"/>
      <c r="T71" s="8" t="n"/>
      <c r="V71" s="8" t="n"/>
      <c r="W71" s="8" t="n"/>
      <c r="X71" s="8" t="n"/>
      <c r="Y71" s="8" t="n"/>
      <c r="Z71" s="8" t="n"/>
      <c r="AB71" s="8" t="n"/>
      <c r="AC71" s="8" t="n"/>
      <c r="AD71" s="8" t="n"/>
      <c r="AE71" s="8" t="n"/>
      <c r="AF71" s="8" t="n"/>
      <c r="AH71" s="8" t="n"/>
      <c r="AI71" s="8" t="n"/>
      <c r="AJ71" s="8" t="n"/>
      <c r="AK71" s="8" t="n"/>
      <c r="AL71" s="8" t="n"/>
      <c r="AN71" s="8" t="n"/>
      <c r="AO71" s="8" t="n"/>
      <c r="AP71" s="8" t="n"/>
      <c r="AQ71" s="8" t="n"/>
      <c r="AR71" s="8" t="n"/>
      <c r="AT71" s="8" t="n"/>
      <c r="AU71" s="8" t="n"/>
      <c r="AV71" s="8" t="n"/>
      <c r="AW71" s="8" t="n"/>
      <c r="AX71" s="8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B6:H11">
    <cfRule type="expression" priority="1" dxfId="3">
      <formula>B6=TODAY()</formula>
    </cfRule>
    <cfRule type="expression" priority="2" dxfId="4">
      <formula>ROW()-ROW($B$6)+1=$B$2</formula>
    </cfRule>
    <cfRule type="expression" priority="3" dxfId="5">
      <formula>MONTH(B6)&lt;&gt;$H$1</formula>
    </cfRule>
  </conditionalFormatting>
  <conditionalFormatting sqref="C15:H19">
    <cfRule type="expression" priority="4" dxfId="2">
      <formula>$B15=TRUE</formula>
    </cfRule>
  </conditionalFormatting>
  <conditionalFormatting sqref="C23:H27">
    <cfRule type="expression" priority="5" dxfId="2">
      <formula>$B23=TRUE</formula>
    </cfRule>
  </conditionalFormatting>
  <conditionalFormatting sqref="J5:N5">
    <cfRule type="expression" priority="6" dxfId="0">
      <formula>$N$5=TODAY()</formula>
    </cfRule>
    <cfRule type="expression" priority="7" dxfId="6">
      <formula>MONTH($N$5)&lt;&gt;$H$1</formula>
    </cfRule>
  </conditionalFormatting>
  <conditionalFormatting sqref="M47:N56">
    <cfRule type="expression" priority="8" dxfId="2">
      <formula>$J47=TRUE</formula>
    </cfRule>
  </conditionalFormatting>
  <conditionalFormatting sqref="P5:T5">
    <cfRule type="expression" priority="9" dxfId="0">
      <formula>$T$5=TODAY()</formula>
    </cfRule>
    <cfRule type="expression" priority="10" dxfId="6">
      <formula>MONTH($T$5)&lt;&gt;$H$1</formula>
    </cfRule>
  </conditionalFormatting>
  <conditionalFormatting sqref="S47:T56">
    <cfRule type="expression" priority="11" dxfId="2">
      <formula>$P47=TRUE</formula>
    </cfRule>
  </conditionalFormatting>
  <conditionalFormatting sqref="V5:Z5">
    <cfRule type="expression" priority="12" dxfId="0">
      <formula>$Z$5=TODAY()</formula>
    </cfRule>
    <cfRule type="expression" priority="13" dxfId="6">
      <formula>MONTH($Z$5)&lt;&gt;$H$1</formula>
    </cfRule>
  </conditionalFormatting>
  <conditionalFormatting sqref="Y47:Z56">
    <cfRule type="expression" priority="14" dxfId="2">
      <formula>$V47=TRUE</formula>
    </cfRule>
  </conditionalFormatting>
  <conditionalFormatting sqref="AB5:AF5">
    <cfRule type="expression" priority="15" dxfId="0">
      <formula>$AF$5=TODAY()</formula>
    </cfRule>
    <cfRule type="expression" priority="16" dxfId="6">
      <formula>MONTH($AF$5)&lt;&gt;$H$1</formula>
    </cfRule>
  </conditionalFormatting>
  <conditionalFormatting sqref="AE47:AF56">
    <cfRule type="expression" priority="17" dxfId="2">
      <formula>$AB47=TRUE</formula>
    </cfRule>
  </conditionalFormatting>
  <conditionalFormatting sqref="AH5:AL5">
    <cfRule type="expression" priority="18" dxfId="0">
      <formula>$AL$5=TODAY()</formula>
    </cfRule>
    <cfRule type="expression" priority="19" dxfId="6">
      <formula>MONTH($AL$5)&lt;&gt;$H$1</formula>
    </cfRule>
  </conditionalFormatting>
  <conditionalFormatting sqref="AK47:AL56">
    <cfRule type="expression" priority="20" dxfId="2">
      <formula>$AH47=TRUE</formula>
    </cfRule>
  </conditionalFormatting>
  <conditionalFormatting sqref="AN5:AR5">
    <cfRule type="expression" priority="21" dxfId="0">
      <formula>$AR$5=TODAY()</formula>
    </cfRule>
    <cfRule type="expression" priority="22" dxfId="6">
      <formula>MONTH($AR$5)&lt;&gt;$H$1</formula>
    </cfRule>
  </conditionalFormatting>
  <conditionalFormatting sqref="AQ47:AR56">
    <cfRule type="expression" priority="23" dxfId="2">
      <formula>$AN47=TRUE</formula>
    </cfRule>
  </conditionalFormatting>
  <conditionalFormatting sqref="AT5:AX5">
    <cfRule type="expression" priority="24" dxfId="0">
      <formula>$AX$5=TODAY()</formula>
    </cfRule>
    <cfRule type="expression" priority="25" dxfId="6">
      <formula>MONTH($AX$5)&lt;&gt;$H$1</formula>
    </cfRule>
  </conditionalFormatting>
  <conditionalFormatting sqref="AW47:AX56">
    <cfRule type="expression" priority="26" dxfId="2">
      <formula>$AT47=TRUE</formula>
    </cfRule>
  </conditionalFormatting>
  <conditionalFormatting sqref="K47:K56 Q47:Q56 W47:W56 AC47:AC56 AI47:AI56 AO47:AO56 AU47:AU56">
    <cfRule type="expression" priority="27" dxfId="7">
      <formula>AND(K47&lt;&gt;"",K47=INDIRECT("Settings!$B$12"))</formula>
    </cfRule>
    <cfRule type="expression" priority="28" dxfId="8">
      <formula>AND(K47&lt;&gt;"",K47=INDIRECT("Settings!$B$13"))</formula>
    </cfRule>
    <cfRule type="expression" priority="29" dxfId="9">
      <formula>AND(K47&lt;&gt;"",K47=INDIRECT("Settings!$B$14"))</formula>
    </cfRule>
    <cfRule type="expression" priority="30" dxfId="10">
      <formula>AND(K47&lt;&gt;"",K47=INDIRECT("Settings!$B$15"))</formula>
    </cfRule>
    <cfRule type="expression" priority="31" dxfId="11">
      <formula>AND(K47&lt;&gt;"",K47=INDIRECT("Settings!$B$16"))</formula>
    </cfRule>
    <cfRule type="expression" priority="32" dxfId="12">
      <formula>AND(K47&lt;&gt;"",K47=INDIRECT("Settings!$B$17"))</formula>
    </cfRule>
    <cfRule type="expression" priority="33" dxfId="13">
      <formula>AND(K47&lt;&gt;"",K47=INDIRECT("Settings!$B$18"))</formula>
    </cfRule>
    <cfRule type="expression" priority="58" dxfId="14">
      <formula>AND(K47&lt;&gt;"",COUNTIF(INDIRECT("Settings!B12:B18"),K47)=0)</formula>
    </cfRule>
  </conditionalFormatting>
  <conditionalFormatting sqref="L47:L56 R47:R56 X47:X56 AD47:AD56 AJ47:AJ56 AP47:AP56 AV47:AV56">
    <cfRule type="expression" priority="34" dxfId="15">
      <formula>AND(L47&lt;&gt;"",L47=INDIRECT("Settings!$B$22"))</formula>
    </cfRule>
    <cfRule type="expression" priority="36" dxfId="16">
      <formula>AND(L47&lt;&gt;"",L47=INDIRECT("Settings!$B$23"))</formula>
    </cfRule>
    <cfRule type="expression" priority="38" dxfId="17">
      <formula>AND(L47&lt;&gt;"",L47=INDIRECT("Settings!$B$24"))</formula>
    </cfRule>
    <cfRule type="expression" priority="40" dxfId="18">
      <formula>AND(L47&lt;&gt;"",L47=INDIRECT("Settings!$B$25"))</formula>
    </cfRule>
    <cfRule type="expression" priority="42" dxfId="19">
      <formula>AND(L47&lt;&gt;"",L47=INDIRECT("Settings!$B$26"))</formula>
    </cfRule>
    <cfRule type="expression" priority="44" dxfId="20">
      <formula>AND(L47&lt;&gt;"",L47=INDIRECT("Settings!$B$27"))</formula>
    </cfRule>
    <cfRule type="expression" priority="46" dxfId="21">
      <formula>AND(L47&lt;&gt;"",L47=INDIRECT("Settings!$B$28"))</formula>
    </cfRule>
    <cfRule type="expression" priority="48" dxfId="22">
      <formula>AND(L47&lt;&gt;"",L47=INDIRECT("Settings!$B$29"))</formula>
    </cfRule>
    <cfRule type="expression" priority="50" dxfId="23">
      <formula>AND(L47&lt;&gt;"",L47=INDIRECT("Settings!$B$30"))</formula>
    </cfRule>
    <cfRule type="expression" priority="52" dxfId="24">
      <formula>AND(L47&lt;&gt;"",L47=INDIRECT("Settings!$B$31"))</formula>
    </cfRule>
    <cfRule type="expression" priority="54" dxfId="25">
      <formula>AND(L47&lt;&gt;"",L47=INDIRECT("Settings!$B$32"))</formula>
    </cfRule>
    <cfRule type="expression" priority="56" dxfId="26">
      <formula>AND(L47&lt;&gt;"",L47=INDIRECT("Settings!$B$33"))</formula>
    </cfRule>
    <cfRule type="expression" priority="59" dxfId="14">
      <formula>AND(L47&lt;&gt;"",COUNTIF(INDIRECT("Settings!B22:B33"),L47)=0)</formula>
    </cfRule>
  </conditionalFormatting>
  <conditionalFormatting sqref="N9:N44 T9:T44 Z9:Z44 AF9:AF44 AL9:AL44 AR9:AR44 AX9:AX44">
    <cfRule type="expression" priority="35" dxfId="15">
      <formula>AND(N9&lt;&gt;"",N9=INDIRECT("Settings!$B$22"))</formula>
    </cfRule>
    <cfRule type="expression" priority="37" dxfId="16">
      <formula>AND(N9&lt;&gt;"",N9=INDIRECT("Settings!$B$23"))</formula>
    </cfRule>
    <cfRule type="expression" priority="39" dxfId="17">
      <formula>AND(N9&lt;&gt;"",N9=INDIRECT("Settings!$B$24"))</formula>
    </cfRule>
    <cfRule type="expression" priority="41" dxfId="18">
      <formula>AND(N9&lt;&gt;"",N9=INDIRECT("Settings!$B$25"))</formula>
    </cfRule>
    <cfRule type="expression" priority="43" dxfId="19">
      <formula>AND(N9&lt;&gt;"",N9=INDIRECT("Settings!$B$26"))</formula>
    </cfRule>
    <cfRule type="expression" priority="45" dxfId="20">
      <formula>AND(N9&lt;&gt;"",N9=INDIRECT("Settings!$B$27"))</formula>
    </cfRule>
    <cfRule type="expression" priority="47" dxfId="21">
      <formula>AND(N9&lt;&gt;"",N9=INDIRECT("Settings!$B$28"))</formula>
    </cfRule>
    <cfRule type="expression" priority="49" dxfId="22">
      <formula>AND(N9&lt;&gt;"",N9=INDIRECT("Settings!$B$29"))</formula>
    </cfRule>
    <cfRule type="expression" priority="51" dxfId="23">
      <formula>AND(N9&lt;&gt;"",N9=INDIRECT("Settings!$B$30"))</formula>
    </cfRule>
    <cfRule type="expression" priority="53" dxfId="24">
      <formula>AND(N9&lt;&gt;"",N9=INDIRECT("Settings!$B$31"))</formula>
    </cfRule>
    <cfRule type="expression" priority="55" dxfId="25">
      <formula>AND(N9&lt;&gt;"",N9=INDIRECT("Settings!$B$32"))</formula>
    </cfRule>
    <cfRule type="expression" priority="57" dxfId="26">
      <formula>AND(N9&lt;&gt;"",N9=INDIRECT("Settings!$B$33"))</formula>
    </cfRule>
    <cfRule type="expression" priority="60" dxfId="14">
      <formula>AND(N9&lt;&gt;"",COUNTIF(INDIRECT("Settings!B22:B33"),N9)=0)</formula>
    </cfRule>
  </conditionalFormatting>
  <conditionalFormatting sqref="B4:BJ71">
    <cfRule type="expression" priority="61" dxfId="5">
      <formula>$B$3&lt;&gt;""</formula>
    </cfRule>
  </conditionalFormatting>
  <conditionalFormatting sqref="BB6:BH26">
    <cfRule type="expression" priority="62" dxfId="27">
      <formula>BB6=TRUE</formula>
    </cfRule>
  </conditionalFormatting>
  <conditionalFormatting sqref="BA6:BJ26">
    <cfRule type="expression" priority="63" dxfId="28">
      <formula>$BA6=""</formula>
    </cfRule>
  </conditionalFormatting>
  <dataValidations count="7">
    <dataValidation sqref="K47:K56 Q47:Q56 W47:W56 AC47:AC56 AI47:AI56 AO47:AO56 AU47:AU56" showDropDown="0" showInputMessage="0" showErrorMessage="0" allowBlank="1" type="list">
      <formula1>=Settings!$B$12:$B$18</formula1>
    </dataValidation>
    <dataValidation sqref="L47:L56 N9:N44 R47:R56 T9:T44 X47:X56 Z9:Z44 AD47:AD56 AF9:AF44 AJ47:AJ56 AL9:AL44 AP47:AP56 AR9:AR44 AV47:AV56 AX9:AX44" showDropDown="0" showInputMessage="0" showErrorMessage="0" allowBlank="1" type="list">
      <formula1>=Settings!$B$22:$B$33</formula1>
    </dataValidation>
    <dataValidation sqref="BB31:BH31" showDropDown="0" showInputMessage="0" showErrorMessage="1" allowBlank="1" errorTitle="Out of range" error="Value must be between Min and Max set on the Settings tab." type="decimal" operator="between">
      <formula1>Settings!$D$61</formula1>
      <formula2>Settings!$E$61</formula2>
    </dataValidation>
    <dataValidation sqref="BB33:BH33" showDropDown="0" showInputMessage="0" showErrorMessage="1" allowBlank="1" errorTitle="Out of range" error="Value must be between Min and Max set on the Settings tab." type="decimal" operator="between">
      <formula1>Settings!$D$62</formula1>
      <formula2>Settings!$E$62</formula2>
    </dataValidation>
    <dataValidation sqref="BB35:BH35" showDropDown="0" showInputMessage="0" showErrorMessage="1" allowBlank="1" errorTitle="Out of range" error="Value must be between Min and Max set on the Settings tab." type="decimal" operator="between">
      <formula1>Settings!$D$63</formula1>
      <formula2>Settings!$E$63</formula2>
    </dataValidation>
    <dataValidation sqref="BB37:BH37" showDropDown="0" showInputMessage="0" showErrorMessage="1" allowBlank="1" errorTitle="Out of range" error="Value must be between Min and Max set on the Settings tab." type="decimal" operator="between">
      <formula1>Settings!$D$64</formula1>
      <formula2>Settings!$E$64</formula2>
    </dataValidation>
    <dataValidation sqref="BB39:BH39" showDropDown="0" showInputMessage="0" showErrorMessage="1" allowBlank="1" errorTitle="Out of range" error="Value must be between Min and Max set on the Settings tab." type="decimal" operator="between">
      <formula1>Settings!$D$65</formula1>
      <formula2>Settings!$E$65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7C8F"/>
    <outlinePr summaryBelow="1" summaryRight="1"/>
    <pageSetUpPr fitToPage="1"/>
  </sheetPr>
  <dimension ref="B1:BT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3" customWidth="1" min="9" max="9"/>
    <col width="11" customWidth="1" min="10" max="10"/>
    <col width="11" customWidth="1" min="11" max="11"/>
    <col width="13" customWidth="1" min="12" max="12"/>
    <col width="20" customWidth="1" min="13" max="13"/>
    <col width="13" customWidth="1" min="14" max="14"/>
    <col width="3" customWidth="1" min="15" max="15"/>
    <col width="11" customWidth="1" min="16" max="16"/>
    <col width="11" customWidth="1" min="17" max="17"/>
    <col width="13" customWidth="1" min="18" max="18"/>
    <col width="20" customWidth="1" min="19" max="19"/>
    <col width="13" customWidth="1" min="20" max="20"/>
    <col width="3" customWidth="1" min="21" max="21"/>
    <col width="11" customWidth="1" min="22" max="22"/>
    <col width="11" customWidth="1" min="23" max="23"/>
    <col width="13" customWidth="1" min="24" max="24"/>
    <col width="20" customWidth="1" min="25" max="25"/>
    <col width="13" customWidth="1" min="26" max="26"/>
    <col width="3" customWidth="1" min="27" max="27"/>
    <col width="11" customWidth="1" min="28" max="28"/>
    <col width="11" customWidth="1" min="29" max="29"/>
    <col width="13" customWidth="1" min="30" max="30"/>
    <col width="20" customWidth="1" min="31" max="31"/>
    <col width="13" customWidth="1" min="32" max="32"/>
    <col width="3" customWidth="1" min="33" max="33"/>
    <col width="11" customWidth="1" min="34" max="34"/>
    <col width="11" customWidth="1" min="35" max="35"/>
    <col width="13" customWidth="1" min="36" max="36"/>
    <col width="20" customWidth="1" min="37" max="37"/>
    <col width="13" customWidth="1" min="38" max="38"/>
    <col width="3" customWidth="1" min="39" max="39"/>
    <col width="11" customWidth="1" min="40" max="40"/>
    <col width="11" customWidth="1" min="41" max="41"/>
    <col width="13" customWidth="1" min="42" max="42"/>
    <col width="20" customWidth="1" min="43" max="43"/>
    <col width="13" customWidth="1" min="44" max="44"/>
    <col width="3" customWidth="1" min="45" max="45"/>
    <col width="11" customWidth="1" min="46" max="46"/>
    <col width="11" customWidth="1" min="47" max="47"/>
    <col width="13" customWidth="1" min="48" max="48"/>
    <col width="20" customWidth="1" min="49" max="49"/>
    <col width="13" customWidth="1" min="50" max="50"/>
    <col width="3" customWidth="1" min="51" max="51"/>
    <col width="3" customWidth="1" min="52" max="52"/>
    <col width="26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9" customWidth="1" min="61" max="61"/>
    <col width="14" customWidth="1" min="62" max="62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B1" s="24">
        <f>Calc!M3&amp;"  ·  "&amp;INDEX(Calc!$F$10:$F$15,$B$2)</f>
        <v/>
      </c>
      <c r="H1" s="25">
        <f>Calc!$B$1</f>
        <v/>
      </c>
    </row>
    <row r="2">
      <c r="B2" s="26" t="n">
        <v>2</v>
      </c>
      <c r="D2" s="17">
        <f>HYPERLINK("#'Month'!A1","◀ Month")</f>
        <v/>
      </c>
      <c r="F2" s="17">
        <f>HYPERLINK("#'W1'!A1","‹ Prev")</f>
        <v/>
      </c>
      <c r="H2" s="17">
        <f>HYPERLINK("#'W3'!A1","Next ›")</f>
        <v/>
      </c>
    </row>
    <row r="3">
      <c r="B3" s="27">
        <f>IF(INDEX(Calc!$E$10:$E$15,$B$2),"","This week is not used in "&amp;Calc!$M$2&amp;".")</f>
        <v/>
      </c>
    </row>
    <row r="4">
      <c r="BA4" s="6">
        <f>IF(Settings!$C$100="",Settings!$B$100,Settings!$C$100)</f>
        <v/>
      </c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</row>
    <row r="5">
      <c r="B5" s="28">
        <f>LEFT(Calc!D1,2)</f>
        <v/>
      </c>
      <c r="C5" s="28">
        <f>LEFT(Calc!E1,2)</f>
        <v/>
      </c>
      <c r="D5" s="28">
        <f>LEFT(Calc!F1,2)</f>
        <v/>
      </c>
      <c r="E5" s="28">
        <f>LEFT(Calc!G1,2)</f>
        <v/>
      </c>
      <c r="F5" s="28">
        <f>LEFT(Calc!H1,2)</f>
        <v/>
      </c>
      <c r="G5" s="28">
        <f>LEFT(Calc!I1,2)</f>
        <v/>
      </c>
      <c r="H5" s="28">
        <f>LEFT(Calc!J1,2)</f>
        <v/>
      </c>
      <c r="J5" s="29">
        <f>IF(INDEX(Settings!$C$69:$C$75,WEEKDAY($N$5,1))="",INDEX(Settings!$B$69:$B$75,WEEKDAY($N$5,1)),INDEX(Settings!$C$69:$C$75,WEEKDAY($N$5,1)))</f>
        <v/>
      </c>
      <c r="K5" s="29" t="n"/>
      <c r="L5" s="29" t="n"/>
      <c r="M5" s="29" t="n"/>
      <c r="N5" s="30">
        <f>INDEX(Calc!$D$3:$J$8,$B$2,1)</f>
        <v/>
      </c>
      <c r="P5" s="29">
        <f>IF(INDEX(Settings!$C$69:$C$75,WEEKDAY($T$5,1))="",INDEX(Settings!$B$69:$B$75,WEEKDAY($T$5,1)),INDEX(Settings!$C$69:$C$75,WEEKDAY($T$5,1)))</f>
        <v/>
      </c>
      <c r="Q5" s="29" t="n"/>
      <c r="R5" s="29" t="n"/>
      <c r="S5" s="29" t="n"/>
      <c r="T5" s="30">
        <f>INDEX(Calc!$D$3:$J$8,$B$2,2)</f>
        <v/>
      </c>
      <c r="V5" s="29">
        <f>IF(INDEX(Settings!$C$69:$C$75,WEEKDAY($Z$5,1))="",INDEX(Settings!$B$69:$B$75,WEEKDAY($Z$5,1)),INDEX(Settings!$C$69:$C$75,WEEKDAY($Z$5,1)))</f>
        <v/>
      </c>
      <c r="W5" s="29" t="n"/>
      <c r="X5" s="29" t="n"/>
      <c r="Y5" s="29" t="n"/>
      <c r="Z5" s="30">
        <f>INDEX(Calc!$D$3:$J$8,$B$2,3)</f>
        <v/>
      </c>
      <c r="AB5" s="29">
        <f>IF(INDEX(Settings!$C$69:$C$75,WEEKDAY($AF$5,1))="",INDEX(Settings!$B$69:$B$75,WEEKDAY($AF$5,1)),INDEX(Settings!$C$69:$C$75,WEEKDAY($AF$5,1)))</f>
        <v/>
      </c>
      <c r="AC5" s="29" t="n"/>
      <c r="AD5" s="29" t="n"/>
      <c r="AE5" s="29" t="n"/>
      <c r="AF5" s="30">
        <f>INDEX(Calc!$D$3:$J$8,$B$2,4)</f>
        <v/>
      </c>
      <c r="AH5" s="29">
        <f>IF(INDEX(Settings!$C$69:$C$75,WEEKDAY($AL$5,1))="",INDEX(Settings!$B$69:$B$75,WEEKDAY($AL$5,1)),INDEX(Settings!$C$69:$C$75,WEEKDAY($AL$5,1)))</f>
        <v/>
      </c>
      <c r="AI5" s="29" t="n"/>
      <c r="AJ5" s="29" t="n"/>
      <c r="AK5" s="29" t="n"/>
      <c r="AL5" s="30">
        <f>INDEX(Calc!$D$3:$J$8,$B$2,5)</f>
        <v/>
      </c>
      <c r="AN5" s="29">
        <f>IF(INDEX(Settings!$C$69:$C$75,WEEKDAY($AR$5,1))="",INDEX(Settings!$B$69:$B$75,WEEKDAY($AR$5,1)),INDEX(Settings!$C$69:$C$75,WEEKDAY($AR$5,1)))</f>
        <v/>
      </c>
      <c r="AO5" s="29" t="n"/>
      <c r="AP5" s="29" t="n"/>
      <c r="AQ5" s="29" t="n"/>
      <c r="AR5" s="30">
        <f>INDEX(Calc!$D$3:$J$8,$B$2,6)</f>
        <v/>
      </c>
      <c r="AT5" s="29">
        <f>IF(INDEX(Settings!$C$69:$C$75,WEEKDAY($AX$5,1))="",INDEX(Settings!$B$69:$B$75,WEEKDAY($AX$5,1)),INDEX(Settings!$C$69:$C$75,WEEKDAY($AX$5,1)))</f>
        <v/>
      </c>
      <c r="AU5" s="29" t="n"/>
      <c r="AV5" s="29" t="n"/>
      <c r="AW5" s="29" t="n"/>
      <c r="AX5" s="30">
        <f>INDEX(Calc!$D$3:$J$8,$B$2,7)</f>
        <v/>
      </c>
      <c r="BA5" s="31" t="n"/>
      <c r="BB5" s="32">
        <f>LEFT(IF(INDEX(Settings!$C$69:$C$75,WEEKDAY(INDEX(Calc!$D$3:$J$8,$B$2,1),1))="",INDEX(Settings!$B$69:$B$75,WEEKDAY(INDEX(Calc!$D$3:$J$8,$B$2,1),1)),INDEX(Settings!$C$69:$C$75,WEEKDAY(INDEX(Calc!$D$3:$J$8,$B$2,1),1))),3)</f>
        <v/>
      </c>
      <c r="BC5" s="32">
        <f>LEFT(IF(INDEX(Settings!$C$69:$C$75,WEEKDAY(INDEX(Calc!$D$3:$J$8,$B$2,2),1))="",INDEX(Settings!$B$69:$B$75,WEEKDAY(INDEX(Calc!$D$3:$J$8,$B$2,2),1)),INDEX(Settings!$C$69:$C$75,WEEKDAY(INDEX(Calc!$D$3:$J$8,$B$2,2),1))),3)</f>
        <v/>
      </c>
      <c r="BD5" s="32">
        <f>LEFT(IF(INDEX(Settings!$C$69:$C$75,WEEKDAY(INDEX(Calc!$D$3:$J$8,$B$2,3),1))="",INDEX(Settings!$B$69:$B$75,WEEKDAY(INDEX(Calc!$D$3:$J$8,$B$2,3),1)),INDEX(Settings!$C$69:$C$75,WEEKDAY(INDEX(Calc!$D$3:$J$8,$B$2,3),1))),3)</f>
        <v/>
      </c>
      <c r="BE5" s="32">
        <f>LEFT(IF(INDEX(Settings!$C$69:$C$75,WEEKDAY(INDEX(Calc!$D$3:$J$8,$B$2,4),1))="",INDEX(Settings!$B$69:$B$75,WEEKDAY(INDEX(Calc!$D$3:$J$8,$B$2,4),1)),INDEX(Settings!$C$69:$C$75,WEEKDAY(INDEX(Calc!$D$3:$J$8,$B$2,4),1))),3)</f>
        <v/>
      </c>
      <c r="BF5" s="32">
        <f>LEFT(IF(INDEX(Settings!$C$69:$C$75,WEEKDAY(INDEX(Calc!$D$3:$J$8,$B$2,5),1))="",INDEX(Settings!$B$69:$B$75,WEEKDAY(INDEX(Calc!$D$3:$J$8,$B$2,5),1)),INDEX(Settings!$C$69:$C$75,WEEKDAY(INDEX(Calc!$D$3:$J$8,$B$2,5),1))),3)</f>
        <v/>
      </c>
      <c r="BG5" s="32">
        <f>LEFT(IF(INDEX(Settings!$C$69:$C$75,WEEKDAY(INDEX(Calc!$D$3:$J$8,$B$2,6),1))="",INDEX(Settings!$B$69:$B$75,WEEKDAY(INDEX(Calc!$D$3:$J$8,$B$2,6),1)),INDEX(Settings!$C$69:$C$75,WEEKDAY(INDEX(Calc!$D$3:$J$8,$B$2,6),1))),3)</f>
        <v/>
      </c>
      <c r="BH5" s="32">
        <f>LEFT(IF(INDEX(Settings!$C$69:$C$75,WEEKDAY(INDEX(Calc!$D$3:$J$8,$B$2,7),1))="",INDEX(Settings!$B$69:$B$75,WEEKDAY(INDEX(Calc!$D$3:$J$8,$B$2,7),1)),INDEX(Settings!$C$69:$C$75,WEEKDAY(INDEX(Calc!$D$3:$J$8,$B$2,7),1))),3)</f>
        <v/>
      </c>
      <c r="BI5" s="32" t="inlineStr">
        <is>
          <t>%</t>
        </is>
      </c>
      <c r="BJ5" s="31" t="inlineStr">
        <is>
          <t>Progress</t>
        </is>
      </c>
    </row>
    <row r="6">
      <c r="B6" s="33">
        <f>Calc!D3</f>
        <v/>
      </c>
      <c r="C6" s="33">
        <f>Calc!E3</f>
        <v/>
      </c>
      <c r="D6" s="33">
        <f>Calc!F3</f>
        <v/>
      </c>
      <c r="E6" s="33">
        <f>Calc!G3</f>
        <v/>
      </c>
      <c r="F6" s="33">
        <f>Calc!H3</f>
        <v/>
      </c>
      <c r="G6" s="33">
        <f>Calc!I3</f>
        <v/>
      </c>
      <c r="H6" s="33">
        <f>Calc!J3</f>
        <v/>
      </c>
      <c r="J6" s="34">
        <f>IFERROR(SUMPRODUCT((M47:M56&lt;&gt;"")*(J47:J56=TRUE))/SUMPRODUCT((M47:M56&lt;&gt;"")*1),0)</f>
        <v/>
      </c>
      <c r="K6" s="35">
        <f>IF(J6="","",REPT("█",ROUND(J6*14,0))&amp;REPT("░",14-ROUND(J6*14,0)))</f>
        <v/>
      </c>
      <c r="L6" s="13" t="n"/>
      <c r="M6" s="13" t="n"/>
      <c r="N6" s="13" t="n"/>
      <c r="P6" s="34">
        <f>IFERROR(SUMPRODUCT((S47:S56&lt;&gt;"")*(P47:P56=TRUE))/SUMPRODUCT((S47:S56&lt;&gt;"")*1),0)</f>
        <v/>
      </c>
      <c r="Q6" s="35">
        <f>IF(P6="","",REPT("█",ROUND(P6*14,0))&amp;REPT("░",14-ROUND(P6*14,0)))</f>
        <v/>
      </c>
      <c r="R6" s="13" t="n"/>
      <c r="S6" s="13" t="n"/>
      <c r="T6" s="13" t="n"/>
      <c r="V6" s="34">
        <f>IFERROR(SUMPRODUCT((Y47:Y56&lt;&gt;"")*(V47:V56=TRUE))/SUMPRODUCT((Y47:Y56&lt;&gt;"")*1),0)</f>
        <v/>
      </c>
      <c r="W6" s="35">
        <f>IF(V6="","",REPT("█",ROUND(V6*14,0))&amp;REPT("░",14-ROUND(V6*14,0)))</f>
        <v/>
      </c>
      <c r="X6" s="13" t="n"/>
      <c r="Y6" s="13" t="n"/>
      <c r="Z6" s="13" t="n"/>
      <c r="AB6" s="34">
        <f>IFERROR(SUMPRODUCT((AE47:AE56&lt;&gt;"")*(AB47:AB56=TRUE))/SUMPRODUCT((AE47:AE56&lt;&gt;"")*1),0)</f>
        <v/>
      </c>
      <c r="AC6" s="35">
        <f>IF(AB6="","",REPT("█",ROUND(AB6*14,0))&amp;REPT("░",14-ROUND(AB6*14,0)))</f>
        <v/>
      </c>
      <c r="AD6" s="13" t="n"/>
      <c r="AE6" s="13" t="n"/>
      <c r="AF6" s="13" t="n"/>
      <c r="AH6" s="34">
        <f>IFERROR(SUMPRODUCT((AK47:AK56&lt;&gt;"")*(AH47:AH56=TRUE))/SUMPRODUCT((AK47:AK56&lt;&gt;"")*1),0)</f>
        <v/>
      </c>
      <c r="AI6" s="35">
        <f>IF(AH6="","",REPT("█",ROUND(AH6*14,0))&amp;REPT("░",14-ROUND(AH6*14,0)))</f>
        <v/>
      </c>
      <c r="AJ6" s="13" t="n"/>
      <c r="AK6" s="13" t="n"/>
      <c r="AL6" s="13" t="n"/>
      <c r="AN6" s="34">
        <f>IFERROR(SUMPRODUCT((AQ47:AQ56&lt;&gt;"")*(AN47:AN56=TRUE))/SUMPRODUCT((AQ47:AQ56&lt;&gt;"")*1),0)</f>
        <v/>
      </c>
      <c r="AO6" s="35">
        <f>IF(AN6="","",REPT("█",ROUND(AN6*14,0))&amp;REPT("░",14-ROUND(AN6*14,0)))</f>
        <v/>
      </c>
      <c r="AP6" s="13" t="n"/>
      <c r="AQ6" s="13" t="n"/>
      <c r="AR6" s="13" t="n"/>
      <c r="AT6" s="34">
        <f>IFERROR(SUMPRODUCT((AW47:AW56&lt;&gt;"")*(AT47:AT56=TRUE))/SUMPRODUCT((AW47:AW56&lt;&gt;"")*1),0)</f>
        <v/>
      </c>
      <c r="AU6" s="35">
        <f>IF(AT6="","",REPT("█",ROUND(AT6*14,0))&amp;REPT("░",14-ROUND(AT6*14,0)))</f>
        <v/>
      </c>
      <c r="AV6" s="13" t="n"/>
      <c r="AW6" s="13" t="n"/>
      <c r="AX6" s="13" t="n"/>
      <c r="BA6" s="13">
        <f>IF(Settings!$B$37="","",Settings!$B$37)</f>
        <v/>
      </c>
      <c r="BB6" s="14" t="b">
        <v>0</v>
      </c>
      <c r="BC6" s="14" t="b">
        <v>0</v>
      </c>
      <c r="BD6" s="14" t="b">
        <v>0</v>
      </c>
      <c r="BE6" s="14" t="b">
        <v>0</v>
      </c>
      <c r="BF6" s="14" t="b">
        <v>0</v>
      </c>
      <c r="BG6" s="14" t="b">
        <v>0</v>
      </c>
      <c r="BH6" s="14" t="b">
        <v>0</v>
      </c>
      <c r="BI6" s="34">
        <f>IF($BA6="","",COUNTIF(BB6:BH6,TRUE)/7)</f>
        <v/>
      </c>
      <c r="BJ6" s="36">
        <f>IF(BI6="","",REPT("█",ROUND(BI6*10,0))&amp;REPT("░",10-ROUND(BI6*10,0)))</f>
        <v/>
      </c>
    </row>
    <row r="7">
      <c r="B7" s="33">
        <f>Calc!D4</f>
        <v/>
      </c>
      <c r="C7" s="33">
        <f>Calc!E4</f>
        <v/>
      </c>
      <c r="D7" s="33">
        <f>Calc!F4</f>
        <v/>
      </c>
      <c r="E7" s="33">
        <f>Calc!G4</f>
        <v/>
      </c>
      <c r="F7" s="33">
        <f>Calc!H4</f>
        <v/>
      </c>
      <c r="G7" s="33">
        <f>Calc!I4</f>
        <v/>
      </c>
      <c r="H7" s="33">
        <f>Calc!J4</f>
        <v/>
      </c>
      <c r="BA7" s="13">
        <f>IF(Settings!$B$38="","",Settings!$B$38)</f>
        <v/>
      </c>
      <c r="BB7" s="14" t="b">
        <v>0</v>
      </c>
      <c r="BC7" s="14" t="b">
        <v>0</v>
      </c>
      <c r="BD7" s="14" t="b">
        <v>0</v>
      </c>
      <c r="BE7" s="14" t="b">
        <v>0</v>
      </c>
      <c r="BF7" s="14" t="b">
        <v>0</v>
      </c>
      <c r="BG7" s="14" t="b">
        <v>0</v>
      </c>
      <c r="BH7" s="14" t="b">
        <v>0</v>
      </c>
      <c r="BI7" s="34">
        <f>IF($BA7="","",COUNTIF(BB7:BH7,TRUE)/7)</f>
        <v/>
      </c>
      <c r="BJ7" s="36">
        <f>IF(BI7="","",REPT("█",ROUND(BI7*10,0))&amp;REPT("░",10-ROUND(BI7*10,0)))</f>
        <v/>
      </c>
    </row>
    <row r="8">
      <c r="B8" s="33">
        <f>Calc!D5</f>
        <v/>
      </c>
      <c r="C8" s="33">
        <f>Calc!E5</f>
        <v/>
      </c>
      <c r="D8" s="33">
        <f>Calc!F5</f>
        <v/>
      </c>
      <c r="E8" s="33">
        <f>Calc!G5</f>
        <v/>
      </c>
      <c r="F8" s="33">
        <f>Calc!H5</f>
        <v/>
      </c>
      <c r="G8" s="33">
        <f>Calc!I5</f>
        <v/>
      </c>
      <c r="H8" s="33">
        <f>Calc!J5</f>
        <v/>
      </c>
      <c r="J8" s="6">
        <f>IF(Settings!$C$98="",Settings!$B$98,Settings!$C$98)</f>
        <v/>
      </c>
      <c r="K8" s="6" t="n"/>
      <c r="L8" s="6" t="n"/>
      <c r="M8" s="6" t="n"/>
      <c r="N8" s="6" t="n"/>
      <c r="P8" s="6">
        <f>IF(Settings!$C$98="",Settings!$B$98,Settings!$C$98)</f>
        <v/>
      </c>
      <c r="Q8" s="6" t="n"/>
      <c r="R8" s="6" t="n"/>
      <c r="S8" s="6" t="n"/>
      <c r="T8" s="6" t="n"/>
      <c r="V8" s="6">
        <f>IF(Settings!$C$98="",Settings!$B$98,Settings!$C$98)</f>
        <v/>
      </c>
      <c r="W8" s="6" t="n"/>
      <c r="X8" s="6" t="n"/>
      <c r="Y8" s="6" t="n"/>
      <c r="Z8" s="6" t="n"/>
      <c r="AB8" s="6">
        <f>IF(Settings!$C$98="",Settings!$B$98,Settings!$C$98)</f>
        <v/>
      </c>
      <c r="AC8" s="6" t="n"/>
      <c r="AD8" s="6" t="n"/>
      <c r="AE8" s="6" t="n"/>
      <c r="AF8" s="6" t="n"/>
      <c r="AH8" s="6">
        <f>IF(Settings!$C$98="",Settings!$B$98,Settings!$C$98)</f>
        <v/>
      </c>
      <c r="AI8" s="6" t="n"/>
      <c r="AJ8" s="6" t="n"/>
      <c r="AK8" s="6" t="n"/>
      <c r="AL8" s="6" t="n"/>
      <c r="AN8" s="6">
        <f>IF(Settings!$C$98="",Settings!$B$98,Settings!$C$98)</f>
        <v/>
      </c>
      <c r="AO8" s="6" t="n"/>
      <c r="AP8" s="6" t="n"/>
      <c r="AQ8" s="6" t="n"/>
      <c r="AR8" s="6" t="n"/>
      <c r="AT8" s="6">
        <f>IF(Settings!$C$98="",Settings!$B$98,Settings!$C$98)</f>
        <v/>
      </c>
      <c r="AU8" s="6" t="n"/>
      <c r="AV8" s="6" t="n"/>
      <c r="AW8" s="6" t="n"/>
      <c r="AX8" s="6" t="n"/>
      <c r="BA8" s="13">
        <f>IF(Settings!$B$39="","",Settings!$B$39)</f>
        <v/>
      </c>
      <c r="BB8" s="14" t="b">
        <v>0</v>
      </c>
      <c r="BC8" s="14" t="b">
        <v>0</v>
      </c>
      <c r="BD8" s="14" t="b">
        <v>0</v>
      </c>
      <c r="BE8" s="14" t="b">
        <v>0</v>
      </c>
      <c r="BF8" s="14" t="b">
        <v>0</v>
      </c>
      <c r="BG8" s="14" t="b">
        <v>0</v>
      </c>
      <c r="BH8" s="14" t="b">
        <v>0</v>
      </c>
      <c r="BI8" s="34">
        <f>IF($BA8="","",COUNTIF(BB8:BH8,TRUE)/7)</f>
        <v/>
      </c>
      <c r="BJ8" s="36">
        <f>IF(BI8="","",REPT("█",ROUND(BI8*10,0))&amp;REPT("░",10-ROUND(BI8*10,0)))</f>
        <v/>
      </c>
    </row>
    <row r="9">
      <c r="B9" s="33">
        <f>Calc!D6</f>
        <v/>
      </c>
      <c r="C9" s="33">
        <f>Calc!E6</f>
        <v/>
      </c>
      <c r="D9" s="33">
        <f>Calc!F6</f>
        <v/>
      </c>
      <c r="E9" s="33">
        <f>Calc!G6</f>
        <v/>
      </c>
      <c r="F9" s="33">
        <f>Calc!H6</f>
        <v/>
      </c>
      <c r="G9" s="33">
        <f>Calc!I6</f>
        <v/>
      </c>
      <c r="H9" s="33">
        <f>Calc!J6</f>
        <v/>
      </c>
      <c r="J9" s="37">
        <f>IF(0*Settings!$C$7&gt;=1440,"",MOD(ROUND((Settings!$C$6+0*Settings!$C$7/1440)*1440,0),1440)/1440)</f>
        <v/>
      </c>
      <c r="K9" s="8" t="n"/>
      <c r="L9" s="8" t="n"/>
      <c r="M9" s="8" t="n"/>
      <c r="N9" s="8" t="n"/>
      <c r="P9" s="37">
        <f>IF(0*Settings!$C$7&gt;=1440,"",MOD(ROUND((Settings!$C$6+0*Settings!$C$7/1440)*1440,0),1440)/1440)</f>
        <v/>
      </c>
      <c r="Q9" s="8" t="n"/>
      <c r="R9" s="8" t="n"/>
      <c r="S9" s="8" t="n"/>
      <c r="T9" s="8" t="n"/>
      <c r="V9" s="37">
        <f>IF(0*Settings!$C$7&gt;=1440,"",MOD(ROUND((Settings!$C$6+0*Settings!$C$7/1440)*1440,0),1440)/1440)</f>
        <v/>
      </c>
      <c r="W9" s="8" t="n"/>
      <c r="X9" s="8" t="n"/>
      <c r="Y9" s="8" t="n"/>
      <c r="Z9" s="8" t="n"/>
      <c r="AB9" s="37">
        <f>IF(0*Settings!$C$7&gt;=1440,"",MOD(ROUND((Settings!$C$6+0*Settings!$C$7/1440)*1440,0),1440)/1440)</f>
        <v/>
      </c>
      <c r="AC9" s="8" t="n"/>
      <c r="AD9" s="8" t="n"/>
      <c r="AE9" s="8" t="n"/>
      <c r="AF9" s="8" t="n"/>
      <c r="AH9" s="37">
        <f>IF(0*Settings!$C$7&gt;=1440,"",MOD(ROUND((Settings!$C$6+0*Settings!$C$7/1440)*1440,0),1440)/1440)</f>
        <v/>
      </c>
      <c r="AI9" s="8" t="n"/>
      <c r="AJ9" s="8" t="n"/>
      <c r="AK9" s="8" t="n"/>
      <c r="AL9" s="8" t="n"/>
      <c r="AN9" s="37">
        <f>IF(0*Settings!$C$7&gt;=1440,"",MOD(ROUND((Settings!$C$6+0*Settings!$C$7/1440)*1440,0),1440)/1440)</f>
        <v/>
      </c>
      <c r="AO9" s="8" t="n"/>
      <c r="AP9" s="8" t="n"/>
      <c r="AQ9" s="8" t="n"/>
      <c r="AR9" s="8" t="n"/>
      <c r="AT9" s="37">
        <f>IF(0*Settings!$C$7&gt;=1440,"",MOD(ROUND((Settings!$C$6+0*Settings!$C$7/1440)*1440,0),1440)/1440)</f>
        <v/>
      </c>
      <c r="AU9" s="8" t="n"/>
      <c r="AV9" s="8" t="n"/>
      <c r="AW9" s="8" t="n"/>
      <c r="AX9" s="8" t="n"/>
      <c r="BA9" s="13">
        <f>IF(Settings!$B$40="","",Settings!$B$40)</f>
        <v/>
      </c>
      <c r="BB9" s="14" t="b">
        <v>0</v>
      </c>
      <c r="BC9" s="14" t="b">
        <v>0</v>
      </c>
      <c r="BD9" s="14" t="b">
        <v>0</v>
      </c>
      <c r="BE9" s="14" t="b">
        <v>0</v>
      </c>
      <c r="BF9" s="14" t="b">
        <v>0</v>
      </c>
      <c r="BG9" s="14" t="b">
        <v>0</v>
      </c>
      <c r="BH9" s="14" t="b">
        <v>0</v>
      </c>
      <c r="BI9" s="34">
        <f>IF($BA9="","",COUNTIF(BB9:BH9,TRUE)/7)</f>
        <v/>
      </c>
      <c r="BJ9" s="36">
        <f>IF(BI9="","",REPT("█",ROUND(BI9*10,0))&amp;REPT("░",10-ROUND(BI9*10,0)))</f>
        <v/>
      </c>
    </row>
    <row r="10">
      <c r="B10" s="33">
        <f>Calc!D7</f>
        <v/>
      </c>
      <c r="C10" s="33">
        <f>Calc!E7</f>
        <v/>
      </c>
      <c r="D10" s="33">
        <f>Calc!F7</f>
        <v/>
      </c>
      <c r="E10" s="33">
        <f>Calc!G7</f>
        <v/>
      </c>
      <c r="F10" s="33">
        <f>Calc!H7</f>
        <v/>
      </c>
      <c r="G10" s="33">
        <f>Calc!I7</f>
        <v/>
      </c>
      <c r="H10" s="33">
        <f>Calc!J7</f>
        <v/>
      </c>
      <c r="J10" s="37">
        <f>IF(1*Settings!$C$7&gt;=1440,"",MOD(ROUND((Settings!$C$6+1*Settings!$C$7/1440)*1440,0),1440)/1440)</f>
        <v/>
      </c>
      <c r="K10" s="8" t="n"/>
      <c r="L10" s="8" t="n"/>
      <c r="M10" s="8" t="n"/>
      <c r="N10" s="8" t="n"/>
      <c r="P10" s="37">
        <f>IF(1*Settings!$C$7&gt;=1440,"",MOD(ROUND((Settings!$C$6+1*Settings!$C$7/1440)*1440,0),1440)/1440)</f>
        <v/>
      </c>
      <c r="Q10" s="8" t="n"/>
      <c r="R10" s="8" t="n"/>
      <c r="S10" s="8" t="n"/>
      <c r="T10" s="8" t="n"/>
      <c r="V10" s="37">
        <f>IF(1*Settings!$C$7&gt;=1440,"",MOD(ROUND((Settings!$C$6+1*Settings!$C$7/1440)*1440,0),1440)/1440)</f>
        <v/>
      </c>
      <c r="W10" s="8" t="n"/>
      <c r="X10" s="8" t="n"/>
      <c r="Y10" s="8" t="n"/>
      <c r="Z10" s="8" t="n"/>
      <c r="AB10" s="37">
        <f>IF(1*Settings!$C$7&gt;=1440,"",MOD(ROUND((Settings!$C$6+1*Settings!$C$7/1440)*1440,0),1440)/1440)</f>
        <v/>
      </c>
      <c r="AC10" s="8" t="n"/>
      <c r="AD10" s="8" t="n"/>
      <c r="AE10" s="8" t="n"/>
      <c r="AF10" s="8" t="n"/>
      <c r="AH10" s="37">
        <f>IF(1*Settings!$C$7&gt;=1440,"",MOD(ROUND((Settings!$C$6+1*Settings!$C$7/1440)*1440,0),1440)/1440)</f>
        <v/>
      </c>
      <c r="AI10" s="8" t="n"/>
      <c r="AJ10" s="8" t="n"/>
      <c r="AK10" s="8" t="n"/>
      <c r="AL10" s="8" t="n"/>
      <c r="AN10" s="37">
        <f>IF(1*Settings!$C$7&gt;=1440,"",MOD(ROUND((Settings!$C$6+1*Settings!$C$7/1440)*1440,0),1440)/1440)</f>
        <v/>
      </c>
      <c r="AO10" s="8" t="n"/>
      <c r="AP10" s="8" t="n"/>
      <c r="AQ10" s="8" t="n"/>
      <c r="AR10" s="8" t="n"/>
      <c r="AT10" s="37">
        <f>IF(1*Settings!$C$7&gt;=1440,"",MOD(ROUND((Settings!$C$6+1*Settings!$C$7/1440)*1440,0),1440)/1440)</f>
        <v/>
      </c>
      <c r="AU10" s="8" t="n"/>
      <c r="AV10" s="8" t="n"/>
      <c r="AW10" s="8" t="n"/>
      <c r="AX10" s="8" t="n"/>
      <c r="BA10" s="13">
        <f>IF(Settings!$B$41="","",Settings!$B$41)</f>
        <v/>
      </c>
      <c r="BB10" s="14" t="b">
        <v>0</v>
      </c>
      <c r="BC10" s="14" t="b">
        <v>0</v>
      </c>
      <c r="BD10" s="14" t="b">
        <v>0</v>
      </c>
      <c r="BE10" s="14" t="b">
        <v>0</v>
      </c>
      <c r="BF10" s="14" t="b">
        <v>0</v>
      </c>
      <c r="BG10" s="14" t="b">
        <v>0</v>
      </c>
      <c r="BH10" s="14" t="b">
        <v>0</v>
      </c>
      <c r="BI10" s="34">
        <f>IF($BA10="","",COUNTIF(BB10:BH10,TRUE)/7)</f>
        <v/>
      </c>
      <c r="BJ10" s="36">
        <f>IF(BI10="","",REPT("█",ROUND(BI10*10,0))&amp;REPT("░",10-ROUND(BI10*10,0)))</f>
        <v/>
      </c>
    </row>
    <row r="11">
      <c r="B11" s="33">
        <f>Calc!D8</f>
        <v/>
      </c>
      <c r="C11" s="33">
        <f>Calc!E8</f>
        <v/>
      </c>
      <c r="D11" s="33">
        <f>Calc!F8</f>
        <v/>
      </c>
      <c r="E11" s="33">
        <f>Calc!G8</f>
        <v/>
      </c>
      <c r="F11" s="33">
        <f>Calc!H8</f>
        <v/>
      </c>
      <c r="G11" s="33">
        <f>Calc!I8</f>
        <v/>
      </c>
      <c r="H11" s="33">
        <f>Calc!J8</f>
        <v/>
      </c>
      <c r="J11" s="37">
        <f>IF(2*Settings!$C$7&gt;=1440,"",MOD(ROUND((Settings!$C$6+2*Settings!$C$7/1440)*1440,0),1440)/1440)</f>
        <v/>
      </c>
      <c r="K11" s="8" t="n"/>
      <c r="L11" s="8" t="n"/>
      <c r="M11" s="8" t="n"/>
      <c r="N11" s="8" t="n"/>
      <c r="P11" s="37">
        <f>IF(2*Settings!$C$7&gt;=1440,"",MOD(ROUND((Settings!$C$6+2*Settings!$C$7/1440)*1440,0),1440)/1440)</f>
        <v/>
      </c>
      <c r="Q11" s="8" t="n"/>
      <c r="R11" s="8" t="n"/>
      <c r="S11" s="8" t="n"/>
      <c r="T11" s="8" t="n"/>
      <c r="V11" s="37">
        <f>IF(2*Settings!$C$7&gt;=1440,"",MOD(ROUND((Settings!$C$6+2*Settings!$C$7/1440)*1440,0),1440)/1440)</f>
        <v/>
      </c>
      <c r="W11" s="8" t="n"/>
      <c r="X11" s="8" t="n"/>
      <c r="Y11" s="8" t="n"/>
      <c r="Z11" s="8" t="n"/>
      <c r="AB11" s="37">
        <f>IF(2*Settings!$C$7&gt;=1440,"",MOD(ROUND((Settings!$C$6+2*Settings!$C$7/1440)*1440,0),1440)/1440)</f>
        <v/>
      </c>
      <c r="AC11" s="8" t="n"/>
      <c r="AD11" s="8" t="n"/>
      <c r="AE11" s="8" t="n"/>
      <c r="AF11" s="8" t="n"/>
      <c r="AH11" s="37">
        <f>IF(2*Settings!$C$7&gt;=1440,"",MOD(ROUND((Settings!$C$6+2*Settings!$C$7/1440)*1440,0),1440)/1440)</f>
        <v/>
      </c>
      <c r="AI11" s="8" t="n"/>
      <c r="AJ11" s="8" t="n"/>
      <c r="AK11" s="8" t="n"/>
      <c r="AL11" s="8" t="n"/>
      <c r="AN11" s="37">
        <f>IF(2*Settings!$C$7&gt;=1440,"",MOD(ROUND((Settings!$C$6+2*Settings!$C$7/1440)*1440,0),1440)/1440)</f>
        <v/>
      </c>
      <c r="AO11" s="8" t="n"/>
      <c r="AP11" s="8" t="n"/>
      <c r="AQ11" s="8" t="n"/>
      <c r="AR11" s="8" t="n"/>
      <c r="AT11" s="37">
        <f>IF(2*Settings!$C$7&gt;=1440,"",MOD(ROUND((Settings!$C$6+2*Settings!$C$7/1440)*1440,0),1440)/1440)</f>
        <v/>
      </c>
      <c r="AU11" s="8" t="n"/>
      <c r="AV11" s="8" t="n"/>
      <c r="AW11" s="8" t="n"/>
      <c r="AX11" s="8" t="n"/>
      <c r="BA11" s="13">
        <f>IF(Settings!$B$42="","",Settings!$B$42)</f>
        <v/>
      </c>
      <c r="BB11" s="14" t="b">
        <v>0</v>
      </c>
      <c r="BC11" s="14" t="b">
        <v>0</v>
      </c>
      <c r="BD11" s="14" t="b">
        <v>0</v>
      </c>
      <c r="BE11" s="14" t="b">
        <v>0</v>
      </c>
      <c r="BF11" s="14" t="b">
        <v>0</v>
      </c>
      <c r="BG11" s="14" t="b">
        <v>0</v>
      </c>
      <c r="BH11" s="14" t="b">
        <v>0</v>
      </c>
      <c r="BI11" s="34">
        <f>IF($BA11="","",COUNTIF(BB11:BH11,TRUE)/7)</f>
        <v/>
      </c>
      <c r="BJ11" s="36">
        <f>IF(BI11="","",REPT("█",ROUND(BI11*10,0))&amp;REPT("░",10-ROUND(BI11*10,0)))</f>
        <v/>
      </c>
    </row>
    <row r="12">
      <c r="J12" s="37">
        <f>IF(3*Settings!$C$7&gt;=1440,"",MOD(ROUND((Settings!$C$6+3*Settings!$C$7/1440)*1440,0),1440)/1440)</f>
        <v/>
      </c>
      <c r="K12" s="8" t="n"/>
      <c r="L12" s="8" t="n"/>
      <c r="M12" s="8" t="n"/>
      <c r="N12" s="8" t="n"/>
      <c r="P12" s="37">
        <f>IF(3*Settings!$C$7&gt;=1440,"",MOD(ROUND((Settings!$C$6+3*Settings!$C$7/1440)*1440,0),1440)/1440)</f>
        <v/>
      </c>
      <c r="Q12" s="8" t="n"/>
      <c r="R12" s="8" t="n"/>
      <c r="S12" s="8" t="n"/>
      <c r="T12" s="8" t="n"/>
      <c r="V12" s="37">
        <f>IF(3*Settings!$C$7&gt;=1440,"",MOD(ROUND((Settings!$C$6+3*Settings!$C$7/1440)*1440,0),1440)/1440)</f>
        <v/>
      </c>
      <c r="W12" s="8" t="n"/>
      <c r="X12" s="8" t="n"/>
      <c r="Y12" s="8" t="n"/>
      <c r="Z12" s="8" t="n"/>
      <c r="AB12" s="37">
        <f>IF(3*Settings!$C$7&gt;=1440,"",MOD(ROUND((Settings!$C$6+3*Settings!$C$7/1440)*1440,0),1440)/1440)</f>
        <v/>
      </c>
      <c r="AC12" s="8" t="n"/>
      <c r="AD12" s="8" t="n"/>
      <c r="AE12" s="8" t="n"/>
      <c r="AF12" s="8" t="n"/>
      <c r="AH12" s="37">
        <f>IF(3*Settings!$C$7&gt;=1440,"",MOD(ROUND((Settings!$C$6+3*Settings!$C$7/1440)*1440,0),1440)/1440)</f>
        <v/>
      </c>
      <c r="AI12" s="8" t="n"/>
      <c r="AJ12" s="8" t="n"/>
      <c r="AK12" s="8" t="n"/>
      <c r="AL12" s="8" t="n"/>
      <c r="AN12" s="37">
        <f>IF(3*Settings!$C$7&gt;=1440,"",MOD(ROUND((Settings!$C$6+3*Settings!$C$7/1440)*1440,0),1440)/1440)</f>
        <v/>
      </c>
      <c r="AO12" s="8" t="n"/>
      <c r="AP12" s="8" t="n"/>
      <c r="AQ12" s="8" t="n"/>
      <c r="AR12" s="8" t="n"/>
      <c r="AT12" s="37">
        <f>IF(3*Settings!$C$7&gt;=1440,"",MOD(ROUND((Settings!$C$6+3*Settings!$C$7/1440)*1440,0),1440)/1440)</f>
        <v/>
      </c>
      <c r="AU12" s="8" t="n"/>
      <c r="AV12" s="8" t="n"/>
      <c r="AW12" s="8" t="n"/>
      <c r="AX12" s="8" t="n"/>
      <c r="BA12" s="13">
        <f>IF(Settings!$B$43="","",Settings!$B$43)</f>
        <v/>
      </c>
      <c r="BB12" s="14" t="b">
        <v>0</v>
      </c>
      <c r="BC12" s="14" t="b">
        <v>0</v>
      </c>
      <c r="BD12" s="14" t="b">
        <v>0</v>
      </c>
      <c r="BE12" s="14" t="b">
        <v>0</v>
      </c>
      <c r="BF12" s="14" t="b">
        <v>0</v>
      </c>
      <c r="BG12" s="14" t="b">
        <v>0</v>
      </c>
      <c r="BH12" s="14" t="b">
        <v>0</v>
      </c>
      <c r="BI12" s="34">
        <f>IF($BA12="","",COUNTIF(BB12:BH12,TRUE)/7)</f>
        <v/>
      </c>
      <c r="BJ12" s="36">
        <f>IF(BI12="","",REPT("█",ROUND(BI12*10,0))&amp;REPT("░",10-ROUND(BI12*10,0)))</f>
        <v/>
      </c>
    </row>
    <row r="13">
      <c r="J13" s="37">
        <f>IF(4*Settings!$C$7&gt;=1440,"",MOD(ROUND((Settings!$C$6+4*Settings!$C$7/1440)*1440,0),1440)/1440)</f>
        <v/>
      </c>
      <c r="K13" s="8" t="n"/>
      <c r="L13" s="8" t="n"/>
      <c r="M13" s="8" t="n"/>
      <c r="N13" s="8" t="n"/>
      <c r="P13" s="37">
        <f>IF(4*Settings!$C$7&gt;=1440,"",MOD(ROUND((Settings!$C$6+4*Settings!$C$7/1440)*1440,0),1440)/1440)</f>
        <v/>
      </c>
      <c r="Q13" s="8" t="n"/>
      <c r="R13" s="8" t="n"/>
      <c r="S13" s="8" t="n"/>
      <c r="T13" s="8" t="n"/>
      <c r="V13" s="37">
        <f>IF(4*Settings!$C$7&gt;=1440,"",MOD(ROUND((Settings!$C$6+4*Settings!$C$7/1440)*1440,0),1440)/1440)</f>
        <v/>
      </c>
      <c r="W13" s="8" t="n"/>
      <c r="X13" s="8" t="n"/>
      <c r="Y13" s="8" t="n"/>
      <c r="Z13" s="8" t="n"/>
      <c r="AB13" s="37">
        <f>IF(4*Settings!$C$7&gt;=1440,"",MOD(ROUND((Settings!$C$6+4*Settings!$C$7/1440)*1440,0),1440)/1440)</f>
        <v/>
      </c>
      <c r="AC13" s="8" t="n"/>
      <c r="AD13" s="8" t="n"/>
      <c r="AE13" s="8" t="n"/>
      <c r="AF13" s="8" t="n"/>
      <c r="AH13" s="37">
        <f>IF(4*Settings!$C$7&gt;=1440,"",MOD(ROUND((Settings!$C$6+4*Settings!$C$7/1440)*1440,0),1440)/1440)</f>
        <v/>
      </c>
      <c r="AI13" s="8" t="n"/>
      <c r="AJ13" s="8" t="n"/>
      <c r="AK13" s="8" t="n"/>
      <c r="AL13" s="8" t="n"/>
      <c r="AN13" s="37">
        <f>IF(4*Settings!$C$7&gt;=1440,"",MOD(ROUND((Settings!$C$6+4*Settings!$C$7/1440)*1440,0),1440)/1440)</f>
        <v/>
      </c>
      <c r="AO13" s="8" t="n"/>
      <c r="AP13" s="8" t="n"/>
      <c r="AQ13" s="8" t="n"/>
      <c r="AR13" s="8" t="n"/>
      <c r="AT13" s="37">
        <f>IF(4*Settings!$C$7&gt;=1440,"",MOD(ROUND((Settings!$C$6+4*Settings!$C$7/1440)*1440,0),1440)/1440)</f>
        <v/>
      </c>
      <c r="AU13" s="8" t="n"/>
      <c r="AV13" s="8" t="n"/>
      <c r="AW13" s="8" t="n"/>
      <c r="AX13" s="8" t="n"/>
      <c r="BA13" s="13">
        <f>IF(Settings!$B$44="","",Settings!$B$44)</f>
        <v/>
      </c>
      <c r="BB13" s="14" t="b">
        <v>0</v>
      </c>
      <c r="BC13" s="14" t="b">
        <v>0</v>
      </c>
      <c r="BD13" s="14" t="b">
        <v>0</v>
      </c>
      <c r="BE13" s="14" t="b">
        <v>0</v>
      </c>
      <c r="BF13" s="14" t="b">
        <v>0</v>
      </c>
      <c r="BG13" s="14" t="b">
        <v>0</v>
      </c>
      <c r="BH13" s="14" t="b">
        <v>0</v>
      </c>
      <c r="BI13" s="34">
        <f>IF($BA13="","",COUNTIF(BB13:BH13,TRUE)/7)</f>
        <v/>
      </c>
      <c r="BJ13" s="36">
        <f>IF(BI13="","",REPT("█",ROUND(BI13*10,0))&amp;REPT("░",10-ROUND(BI13*10,0)))</f>
        <v/>
      </c>
    </row>
    <row r="14">
      <c r="B14" s="6">
        <f>IF(Settings!$C$102="",Settings!$B$102,Settings!$C$102)</f>
        <v/>
      </c>
      <c r="C14" s="6" t="n"/>
      <c r="D14" s="6" t="n"/>
      <c r="E14" s="6" t="n"/>
      <c r="F14" s="6" t="n"/>
      <c r="G14" s="6" t="n"/>
      <c r="H14" s="21">
        <f>IFERROR(SUMPRODUCT((C15:C19&lt;&gt;"")*(B15:B19=TRUE))/SUMPRODUCT((C15:C19&lt;&gt;"")*1),0)</f>
        <v/>
      </c>
      <c r="J14" s="37">
        <f>IF(5*Settings!$C$7&gt;=1440,"",MOD(ROUND((Settings!$C$6+5*Settings!$C$7/1440)*1440,0),1440)/1440)</f>
        <v/>
      </c>
      <c r="K14" s="8" t="n"/>
      <c r="L14" s="8" t="n"/>
      <c r="M14" s="8" t="n"/>
      <c r="N14" s="8" t="n"/>
      <c r="P14" s="37">
        <f>IF(5*Settings!$C$7&gt;=1440,"",MOD(ROUND((Settings!$C$6+5*Settings!$C$7/1440)*1440,0),1440)/1440)</f>
        <v/>
      </c>
      <c r="Q14" s="8" t="n"/>
      <c r="R14" s="8" t="n"/>
      <c r="S14" s="8" t="n"/>
      <c r="T14" s="8" t="n"/>
      <c r="V14" s="37">
        <f>IF(5*Settings!$C$7&gt;=1440,"",MOD(ROUND((Settings!$C$6+5*Settings!$C$7/1440)*1440,0),1440)/1440)</f>
        <v/>
      </c>
      <c r="W14" s="8" t="n"/>
      <c r="X14" s="8" t="n"/>
      <c r="Y14" s="8" t="n"/>
      <c r="Z14" s="8" t="n"/>
      <c r="AB14" s="37">
        <f>IF(5*Settings!$C$7&gt;=1440,"",MOD(ROUND((Settings!$C$6+5*Settings!$C$7/1440)*1440,0),1440)/1440)</f>
        <v/>
      </c>
      <c r="AC14" s="8" t="n"/>
      <c r="AD14" s="8" t="n"/>
      <c r="AE14" s="8" t="n"/>
      <c r="AF14" s="8" t="n"/>
      <c r="AH14" s="37">
        <f>IF(5*Settings!$C$7&gt;=1440,"",MOD(ROUND((Settings!$C$6+5*Settings!$C$7/1440)*1440,0),1440)/1440)</f>
        <v/>
      </c>
      <c r="AI14" s="8" t="n"/>
      <c r="AJ14" s="8" t="n"/>
      <c r="AK14" s="8" t="n"/>
      <c r="AL14" s="8" t="n"/>
      <c r="AN14" s="37">
        <f>IF(5*Settings!$C$7&gt;=1440,"",MOD(ROUND((Settings!$C$6+5*Settings!$C$7/1440)*1440,0),1440)/1440)</f>
        <v/>
      </c>
      <c r="AO14" s="8" t="n"/>
      <c r="AP14" s="8" t="n"/>
      <c r="AQ14" s="8" t="n"/>
      <c r="AR14" s="8" t="n"/>
      <c r="AT14" s="37">
        <f>IF(5*Settings!$C$7&gt;=1440,"",MOD(ROUND((Settings!$C$6+5*Settings!$C$7/1440)*1440,0),1440)/1440)</f>
        <v/>
      </c>
      <c r="AU14" s="8" t="n"/>
      <c r="AV14" s="8" t="n"/>
      <c r="AW14" s="8" t="n"/>
      <c r="AX14" s="8" t="n"/>
      <c r="BA14" s="13">
        <f>IF(Settings!$B$45="","",Settings!$B$45)</f>
        <v/>
      </c>
      <c r="BB14" s="14" t="b">
        <v>0</v>
      </c>
      <c r="BC14" s="14" t="b">
        <v>0</v>
      </c>
      <c r="BD14" s="14" t="b">
        <v>0</v>
      </c>
      <c r="BE14" s="14" t="b">
        <v>0</v>
      </c>
      <c r="BF14" s="14" t="b">
        <v>0</v>
      </c>
      <c r="BG14" s="14" t="b">
        <v>0</v>
      </c>
      <c r="BH14" s="14" t="b">
        <v>0</v>
      </c>
      <c r="BI14" s="34">
        <f>IF($BA14="","",COUNTIF(BB14:BH14,TRUE)/7)</f>
        <v/>
      </c>
      <c r="BJ14" s="36">
        <f>IF(BI14="","",REPT("█",ROUND(BI14*10,0))&amp;REPT("░",10-ROUND(BI14*10,0)))</f>
        <v/>
      </c>
    </row>
    <row r="15">
      <c r="B15" s="14" t="b">
        <v>0</v>
      </c>
      <c r="C15" s="8" t="n"/>
      <c r="D15" s="8" t="n"/>
      <c r="E15" s="8" t="n"/>
      <c r="F15" s="8" t="n"/>
      <c r="G15" s="8" t="n"/>
      <c r="H15" s="8" t="n"/>
      <c r="J15" s="37">
        <f>IF(6*Settings!$C$7&gt;=1440,"",MOD(ROUND((Settings!$C$6+6*Settings!$C$7/1440)*1440,0),1440)/1440)</f>
        <v/>
      </c>
      <c r="K15" s="8" t="n"/>
      <c r="L15" s="8" t="n"/>
      <c r="M15" s="8" t="n"/>
      <c r="N15" s="8" t="n"/>
      <c r="P15" s="37">
        <f>IF(6*Settings!$C$7&gt;=1440,"",MOD(ROUND((Settings!$C$6+6*Settings!$C$7/1440)*1440,0),1440)/1440)</f>
        <v/>
      </c>
      <c r="Q15" s="8" t="n"/>
      <c r="R15" s="8" t="n"/>
      <c r="S15" s="8" t="n"/>
      <c r="T15" s="8" t="n"/>
      <c r="V15" s="37">
        <f>IF(6*Settings!$C$7&gt;=1440,"",MOD(ROUND((Settings!$C$6+6*Settings!$C$7/1440)*1440,0),1440)/1440)</f>
        <v/>
      </c>
      <c r="W15" s="8" t="n"/>
      <c r="X15" s="8" t="n"/>
      <c r="Y15" s="8" t="n"/>
      <c r="Z15" s="8" t="n"/>
      <c r="AB15" s="37">
        <f>IF(6*Settings!$C$7&gt;=1440,"",MOD(ROUND((Settings!$C$6+6*Settings!$C$7/1440)*1440,0),1440)/1440)</f>
        <v/>
      </c>
      <c r="AC15" s="8" t="n"/>
      <c r="AD15" s="8" t="n"/>
      <c r="AE15" s="8" t="n"/>
      <c r="AF15" s="8" t="n"/>
      <c r="AH15" s="37">
        <f>IF(6*Settings!$C$7&gt;=1440,"",MOD(ROUND((Settings!$C$6+6*Settings!$C$7/1440)*1440,0),1440)/1440)</f>
        <v/>
      </c>
      <c r="AI15" s="8" t="n"/>
      <c r="AJ15" s="8" t="n"/>
      <c r="AK15" s="8" t="n"/>
      <c r="AL15" s="8" t="n"/>
      <c r="AN15" s="37">
        <f>IF(6*Settings!$C$7&gt;=1440,"",MOD(ROUND((Settings!$C$6+6*Settings!$C$7/1440)*1440,0),1440)/1440)</f>
        <v/>
      </c>
      <c r="AO15" s="8" t="n"/>
      <c r="AP15" s="8" t="n"/>
      <c r="AQ15" s="8" t="n"/>
      <c r="AR15" s="8" t="n"/>
      <c r="AT15" s="37">
        <f>IF(6*Settings!$C$7&gt;=1440,"",MOD(ROUND((Settings!$C$6+6*Settings!$C$7/1440)*1440,0),1440)/1440)</f>
        <v/>
      </c>
      <c r="AU15" s="8" t="n"/>
      <c r="AV15" s="8" t="n"/>
      <c r="AW15" s="8" t="n"/>
      <c r="AX15" s="8" t="n"/>
      <c r="BA15" s="13">
        <f>IF(Settings!$B$46="","",Settings!$B$46)</f>
        <v/>
      </c>
      <c r="BB15" s="14" t="b">
        <v>0</v>
      </c>
      <c r="BC15" s="14" t="b">
        <v>0</v>
      </c>
      <c r="BD15" s="14" t="b">
        <v>0</v>
      </c>
      <c r="BE15" s="14" t="b">
        <v>0</v>
      </c>
      <c r="BF15" s="14" t="b">
        <v>0</v>
      </c>
      <c r="BG15" s="14" t="b">
        <v>0</v>
      </c>
      <c r="BH15" s="14" t="b">
        <v>0</v>
      </c>
      <c r="BI15" s="34">
        <f>IF($BA15="","",COUNTIF(BB15:BH15,TRUE)/7)</f>
        <v/>
      </c>
      <c r="BJ15" s="36">
        <f>IF(BI15="","",REPT("█",ROUND(BI15*10,0))&amp;REPT("░",10-ROUND(BI15*10,0)))</f>
        <v/>
      </c>
    </row>
    <row r="16">
      <c r="B16" s="14" t="b">
        <v>0</v>
      </c>
      <c r="C16" s="8" t="n"/>
      <c r="D16" s="8" t="n"/>
      <c r="E16" s="8" t="n"/>
      <c r="F16" s="8" t="n"/>
      <c r="G16" s="8" t="n"/>
      <c r="H16" s="8" t="n"/>
      <c r="J16" s="37">
        <f>IF(7*Settings!$C$7&gt;=1440,"",MOD(ROUND((Settings!$C$6+7*Settings!$C$7/1440)*1440,0),1440)/1440)</f>
        <v/>
      </c>
      <c r="K16" s="8" t="n"/>
      <c r="L16" s="8" t="n"/>
      <c r="M16" s="8" t="n"/>
      <c r="N16" s="8" t="n"/>
      <c r="P16" s="37">
        <f>IF(7*Settings!$C$7&gt;=1440,"",MOD(ROUND((Settings!$C$6+7*Settings!$C$7/1440)*1440,0),1440)/1440)</f>
        <v/>
      </c>
      <c r="Q16" s="8" t="n"/>
      <c r="R16" s="8" t="n"/>
      <c r="S16" s="8" t="n"/>
      <c r="T16" s="8" t="n"/>
      <c r="V16" s="37">
        <f>IF(7*Settings!$C$7&gt;=1440,"",MOD(ROUND((Settings!$C$6+7*Settings!$C$7/1440)*1440,0),1440)/1440)</f>
        <v/>
      </c>
      <c r="W16" s="8" t="n"/>
      <c r="X16" s="8" t="n"/>
      <c r="Y16" s="8" t="n"/>
      <c r="Z16" s="8" t="n"/>
      <c r="AB16" s="37">
        <f>IF(7*Settings!$C$7&gt;=1440,"",MOD(ROUND((Settings!$C$6+7*Settings!$C$7/1440)*1440,0),1440)/1440)</f>
        <v/>
      </c>
      <c r="AC16" s="8" t="n"/>
      <c r="AD16" s="8" t="n"/>
      <c r="AE16" s="8" t="n"/>
      <c r="AF16" s="8" t="n"/>
      <c r="AH16" s="37">
        <f>IF(7*Settings!$C$7&gt;=1440,"",MOD(ROUND((Settings!$C$6+7*Settings!$C$7/1440)*1440,0),1440)/1440)</f>
        <v/>
      </c>
      <c r="AI16" s="8" t="n"/>
      <c r="AJ16" s="8" t="n"/>
      <c r="AK16" s="8" t="n"/>
      <c r="AL16" s="8" t="n"/>
      <c r="AN16" s="37">
        <f>IF(7*Settings!$C$7&gt;=1440,"",MOD(ROUND((Settings!$C$6+7*Settings!$C$7/1440)*1440,0),1440)/1440)</f>
        <v/>
      </c>
      <c r="AO16" s="8" t="n"/>
      <c r="AP16" s="8" t="n"/>
      <c r="AQ16" s="8" t="n"/>
      <c r="AR16" s="8" t="n"/>
      <c r="AT16" s="37">
        <f>IF(7*Settings!$C$7&gt;=1440,"",MOD(ROUND((Settings!$C$6+7*Settings!$C$7/1440)*1440,0),1440)/1440)</f>
        <v/>
      </c>
      <c r="AU16" s="8" t="n"/>
      <c r="AV16" s="8" t="n"/>
      <c r="AW16" s="8" t="n"/>
      <c r="AX16" s="8" t="n"/>
      <c r="BA16" s="13">
        <f>IF(Settings!$B$47="","",Settings!$B$47)</f>
        <v/>
      </c>
      <c r="BB16" s="14" t="b">
        <v>0</v>
      </c>
      <c r="BC16" s="14" t="b">
        <v>0</v>
      </c>
      <c r="BD16" s="14" t="b">
        <v>0</v>
      </c>
      <c r="BE16" s="14" t="b">
        <v>0</v>
      </c>
      <c r="BF16" s="14" t="b">
        <v>0</v>
      </c>
      <c r="BG16" s="14" t="b">
        <v>0</v>
      </c>
      <c r="BH16" s="14" t="b">
        <v>0</v>
      </c>
      <c r="BI16" s="34">
        <f>IF($BA16="","",COUNTIF(BB16:BH16,TRUE)/7)</f>
        <v/>
      </c>
      <c r="BJ16" s="36">
        <f>IF(BI16="","",REPT("█",ROUND(BI16*10,0))&amp;REPT("░",10-ROUND(BI16*10,0)))</f>
        <v/>
      </c>
    </row>
    <row r="17">
      <c r="B17" s="14" t="b">
        <v>0</v>
      </c>
      <c r="C17" s="8" t="n"/>
      <c r="D17" s="8" t="n"/>
      <c r="E17" s="8" t="n"/>
      <c r="F17" s="8" t="n"/>
      <c r="G17" s="8" t="n"/>
      <c r="H17" s="8" t="n"/>
      <c r="J17" s="37">
        <f>IF(8*Settings!$C$7&gt;=1440,"",MOD(ROUND((Settings!$C$6+8*Settings!$C$7/1440)*1440,0),1440)/1440)</f>
        <v/>
      </c>
      <c r="K17" s="8" t="n"/>
      <c r="L17" s="8" t="n"/>
      <c r="M17" s="8" t="n"/>
      <c r="N17" s="8" t="n"/>
      <c r="P17" s="37">
        <f>IF(8*Settings!$C$7&gt;=1440,"",MOD(ROUND((Settings!$C$6+8*Settings!$C$7/1440)*1440,0),1440)/1440)</f>
        <v/>
      </c>
      <c r="Q17" s="8" t="n"/>
      <c r="R17" s="8" t="n"/>
      <c r="S17" s="8" t="n"/>
      <c r="T17" s="8" t="n"/>
      <c r="V17" s="37">
        <f>IF(8*Settings!$C$7&gt;=1440,"",MOD(ROUND((Settings!$C$6+8*Settings!$C$7/1440)*1440,0),1440)/1440)</f>
        <v/>
      </c>
      <c r="W17" s="8" t="n"/>
      <c r="X17" s="8" t="n"/>
      <c r="Y17" s="8" t="n"/>
      <c r="Z17" s="8" t="n"/>
      <c r="AB17" s="37">
        <f>IF(8*Settings!$C$7&gt;=1440,"",MOD(ROUND((Settings!$C$6+8*Settings!$C$7/1440)*1440,0),1440)/1440)</f>
        <v/>
      </c>
      <c r="AC17" s="8" t="n"/>
      <c r="AD17" s="8" t="n"/>
      <c r="AE17" s="8" t="n"/>
      <c r="AF17" s="8" t="n"/>
      <c r="AH17" s="37">
        <f>IF(8*Settings!$C$7&gt;=1440,"",MOD(ROUND((Settings!$C$6+8*Settings!$C$7/1440)*1440,0),1440)/1440)</f>
        <v/>
      </c>
      <c r="AI17" s="8" t="n"/>
      <c r="AJ17" s="8" t="n"/>
      <c r="AK17" s="8" t="n"/>
      <c r="AL17" s="8" t="n"/>
      <c r="AN17" s="37">
        <f>IF(8*Settings!$C$7&gt;=1440,"",MOD(ROUND((Settings!$C$6+8*Settings!$C$7/1440)*1440,0),1440)/1440)</f>
        <v/>
      </c>
      <c r="AO17" s="8" t="n"/>
      <c r="AP17" s="8" t="n"/>
      <c r="AQ17" s="8" t="n"/>
      <c r="AR17" s="8" t="n"/>
      <c r="AT17" s="37">
        <f>IF(8*Settings!$C$7&gt;=1440,"",MOD(ROUND((Settings!$C$6+8*Settings!$C$7/1440)*1440,0),1440)/1440)</f>
        <v/>
      </c>
      <c r="AU17" s="8" t="n"/>
      <c r="AV17" s="8" t="n"/>
      <c r="AW17" s="8" t="n"/>
      <c r="AX17" s="8" t="n"/>
      <c r="BA17" s="13">
        <f>IF(Settings!$B$48="","",Settings!$B$48)</f>
        <v/>
      </c>
      <c r="BB17" s="14" t="b">
        <v>0</v>
      </c>
      <c r="BC17" s="14" t="b">
        <v>0</v>
      </c>
      <c r="BD17" s="14" t="b">
        <v>0</v>
      </c>
      <c r="BE17" s="14" t="b">
        <v>0</v>
      </c>
      <c r="BF17" s="14" t="b">
        <v>0</v>
      </c>
      <c r="BG17" s="14" t="b">
        <v>0</v>
      </c>
      <c r="BH17" s="14" t="b">
        <v>0</v>
      </c>
      <c r="BI17" s="34">
        <f>IF($BA17="","",COUNTIF(BB17:BH17,TRUE)/7)</f>
        <v/>
      </c>
      <c r="BJ17" s="36">
        <f>IF(BI17="","",REPT("█",ROUND(BI17*10,0))&amp;REPT("░",10-ROUND(BI17*10,0)))</f>
        <v/>
      </c>
    </row>
    <row r="18">
      <c r="B18" s="14" t="b">
        <v>0</v>
      </c>
      <c r="C18" s="8" t="n"/>
      <c r="D18" s="8" t="n"/>
      <c r="E18" s="8" t="n"/>
      <c r="F18" s="8" t="n"/>
      <c r="G18" s="8" t="n"/>
      <c r="H18" s="8" t="n"/>
      <c r="J18" s="37">
        <f>IF(9*Settings!$C$7&gt;=1440,"",MOD(ROUND((Settings!$C$6+9*Settings!$C$7/1440)*1440,0),1440)/1440)</f>
        <v/>
      </c>
      <c r="K18" s="8" t="n"/>
      <c r="L18" s="8" t="n"/>
      <c r="M18" s="8" t="n"/>
      <c r="N18" s="8" t="n"/>
      <c r="P18" s="37">
        <f>IF(9*Settings!$C$7&gt;=1440,"",MOD(ROUND((Settings!$C$6+9*Settings!$C$7/1440)*1440,0),1440)/1440)</f>
        <v/>
      </c>
      <c r="Q18" s="8" t="n"/>
      <c r="R18" s="8" t="n"/>
      <c r="S18" s="8" t="n"/>
      <c r="T18" s="8" t="n"/>
      <c r="V18" s="37">
        <f>IF(9*Settings!$C$7&gt;=1440,"",MOD(ROUND((Settings!$C$6+9*Settings!$C$7/1440)*1440,0),1440)/1440)</f>
        <v/>
      </c>
      <c r="W18" s="8" t="n"/>
      <c r="X18" s="8" t="n"/>
      <c r="Y18" s="8" t="n"/>
      <c r="Z18" s="8" t="n"/>
      <c r="AB18" s="37">
        <f>IF(9*Settings!$C$7&gt;=1440,"",MOD(ROUND((Settings!$C$6+9*Settings!$C$7/1440)*1440,0),1440)/1440)</f>
        <v/>
      </c>
      <c r="AC18" s="8" t="n"/>
      <c r="AD18" s="8" t="n"/>
      <c r="AE18" s="8" t="n"/>
      <c r="AF18" s="8" t="n"/>
      <c r="AH18" s="37">
        <f>IF(9*Settings!$C$7&gt;=1440,"",MOD(ROUND((Settings!$C$6+9*Settings!$C$7/1440)*1440,0),1440)/1440)</f>
        <v/>
      </c>
      <c r="AI18" s="8" t="n"/>
      <c r="AJ18" s="8" t="n"/>
      <c r="AK18" s="8" t="n"/>
      <c r="AL18" s="8" t="n"/>
      <c r="AN18" s="37">
        <f>IF(9*Settings!$C$7&gt;=1440,"",MOD(ROUND((Settings!$C$6+9*Settings!$C$7/1440)*1440,0),1440)/1440)</f>
        <v/>
      </c>
      <c r="AO18" s="8" t="n"/>
      <c r="AP18" s="8" t="n"/>
      <c r="AQ18" s="8" t="n"/>
      <c r="AR18" s="8" t="n"/>
      <c r="AT18" s="37">
        <f>IF(9*Settings!$C$7&gt;=1440,"",MOD(ROUND((Settings!$C$6+9*Settings!$C$7/1440)*1440,0),1440)/1440)</f>
        <v/>
      </c>
      <c r="AU18" s="8" t="n"/>
      <c r="AV18" s="8" t="n"/>
      <c r="AW18" s="8" t="n"/>
      <c r="AX18" s="8" t="n"/>
      <c r="BA18" s="13">
        <f>IF(Settings!$B$49="","",Settings!$B$49)</f>
        <v/>
      </c>
      <c r="BB18" s="14" t="b">
        <v>0</v>
      </c>
      <c r="BC18" s="14" t="b">
        <v>0</v>
      </c>
      <c r="BD18" s="14" t="b">
        <v>0</v>
      </c>
      <c r="BE18" s="14" t="b">
        <v>0</v>
      </c>
      <c r="BF18" s="14" t="b">
        <v>0</v>
      </c>
      <c r="BG18" s="14" t="b">
        <v>0</v>
      </c>
      <c r="BH18" s="14" t="b">
        <v>0</v>
      </c>
      <c r="BI18" s="34">
        <f>IF($BA18="","",COUNTIF(BB18:BH18,TRUE)/7)</f>
        <v/>
      </c>
      <c r="BJ18" s="36">
        <f>IF(BI18="","",REPT("█",ROUND(BI18*10,0))&amp;REPT("░",10-ROUND(BI18*10,0)))</f>
        <v/>
      </c>
    </row>
    <row r="19">
      <c r="B19" s="14" t="b">
        <v>0</v>
      </c>
      <c r="C19" s="8" t="n"/>
      <c r="D19" s="8" t="n"/>
      <c r="E19" s="8" t="n"/>
      <c r="F19" s="8" t="n"/>
      <c r="G19" s="8" t="n"/>
      <c r="H19" s="8" t="n"/>
      <c r="J19" s="37">
        <f>IF(10*Settings!$C$7&gt;=1440,"",MOD(ROUND((Settings!$C$6+10*Settings!$C$7/1440)*1440,0),1440)/1440)</f>
        <v/>
      </c>
      <c r="K19" s="8" t="n"/>
      <c r="L19" s="8" t="n"/>
      <c r="M19" s="8" t="n"/>
      <c r="N19" s="8" t="n"/>
      <c r="P19" s="37">
        <f>IF(10*Settings!$C$7&gt;=1440,"",MOD(ROUND((Settings!$C$6+10*Settings!$C$7/1440)*1440,0),1440)/1440)</f>
        <v/>
      </c>
      <c r="Q19" s="8" t="n"/>
      <c r="R19" s="8" t="n"/>
      <c r="S19" s="8" t="n"/>
      <c r="T19" s="8" t="n"/>
      <c r="V19" s="37">
        <f>IF(10*Settings!$C$7&gt;=1440,"",MOD(ROUND((Settings!$C$6+10*Settings!$C$7/1440)*1440,0),1440)/1440)</f>
        <v/>
      </c>
      <c r="W19" s="8" t="n"/>
      <c r="X19" s="8" t="n"/>
      <c r="Y19" s="8" t="n"/>
      <c r="Z19" s="8" t="n"/>
      <c r="AB19" s="37">
        <f>IF(10*Settings!$C$7&gt;=1440,"",MOD(ROUND((Settings!$C$6+10*Settings!$C$7/1440)*1440,0),1440)/1440)</f>
        <v/>
      </c>
      <c r="AC19" s="8" t="n"/>
      <c r="AD19" s="8" t="n"/>
      <c r="AE19" s="8" t="n"/>
      <c r="AF19" s="8" t="n"/>
      <c r="AH19" s="37">
        <f>IF(10*Settings!$C$7&gt;=1440,"",MOD(ROUND((Settings!$C$6+10*Settings!$C$7/1440)*1440,0),1440)/1440)</f>
        <v/>
      </c>
      <c r="AI19" s="8" t="n"/>
      <c r="AJ19" s="8" t="n"/>
      <c r="AK19" s="8" t="n"/>
      <c r="AL19" s="8" t="n"/>
      <c r="AN19" s="37">
        <f>IF(10*Settings!$C$7&gt;=1440,"",MOD(ROUND((Settings!$C$6+10*Settings!$C$7/1440)*1440,0),1440)/1440)</f>
        <v/>
      </c>
      <c r="AO19" s="8" t="n"/>
      <c r="AP19" s="8" t="n"/>
      <c r="AQ19" s="8" t="n"/>
      <c r="AR19" s="8" t="n"/>
      <c r="AT19" s="37">
        <f>IF(10*Settings!$C$7&gt;=1440,"",MOD(ROUND((Settings!$C$6+10*Settings!$C$7/1440)*1440,0),1440)/1440)</f>
        <v/>
      </c>
      <c r="AU19" s="8" t="n"/>
      <c r="AV19" s="8" t="n"/>
      <c r="AW19" s="8" t="n"/>
      <c r="AX19" s="8" t="n"/>
      <c r="BA19" s="13">
        <f>IF(Settings!$B$50="","",Settings!$B$50)</f>
        <v/>
      </c>
      <c r="BB19" s="14" t="b">
        <v>0</v>
      </c>
      <c r="BC19" s="14" t="b">
        <v>0</v>
      </c>
      <c r="BD19" s="14" t="b">
        <v>0</v>
      </c>
      <c r="BE19" s="14" t="b">
        <v>0</v>
      </c>
      <c r="BF19" s="14" t="b">
        <v>0</v>
      </c>
      <c r="BG19" s="14" t="b">
        <v>0</v>
      </c>
      <c r="BH19" s="14" t="b">
        <v>0</v>
      </c>
      <c r="BI19" s="34">
        <f>IF($BA19="","",COUNTIF(BB19:BH19,TRUE)/7)</f>
        <v/>
      </c>
      <c r="BJ19" s="36">
        <f>IF(BI19="","",REPT("█",ROUND(BI19*10,0))&amp;REPT("░",10-ROUND(BI19*10,0)))</f>
        <v/>
      </c>
    </row>
    <row r="20">
      <c r="J20" s="37">
        <f>IF(11*Settings!$C$7&gt;=1440,"",MOD(ROUND((Settings!$C$6+11*Settings!$C$7/1440)*1440,0),1440)/1440)</f>
        <v/>
      </c>
      <c r="K20" s="8" t="n"/>
      <c r="L20" s="8" t="n"/>
      <c r="M20" s="8" t="n"/>
      <c r="N20" s="8" t="n"/>
      <c r="P20" s="37">
        <f>IF(11*Settings!$C$7&gt;=1440,"",MOD(ROUND((Settings!$C$6+11*Settings!$C$7/1440)*1440,0),1440)/1440)</f>
        <v/>
      </c>
      <c r="Q20" s="8" t="n"/>
      <c r="R20" s="8" t="n"/>
      <c r="S20" s="8" t="n"/>
      <c r="T20" s="8" t="n"/>
      <c r="V20" s="37">
        <f>IF(11*Settings!$C$7&gt;=1440,"",MOD(ROUND((Settings!$C$6+11*Settings!$C$7/1440)*1440,0),1440)/1440)</f>
        <v/>
      </c>
      <c r="W20" s="8" t="n"/>
      <c r="X20" s="8" t="n"/>
      <c r="Y20" s="8" t="n"/>
      <c r="Z20" s="8" t="n"/>
      <c r="AB20" s="37">
        <f>IF(11*Settings!$C$7&gt;=1440,"",MOD(ROUND((Settings!$C$6+11*Settings!$C$7/1440)*1440,0),1440)/1440)</f>
        <v/>
      </c>
      <c r="AC20" s="8" t="n"/>
      <c r="AD20" s="8" t="n"/>
      <c r="AE20" s="8" t="n"/>
      <c r="AF20" s="8" t="n"/>
      <c r="AH20" s="37">
        <f>IF(11*Settings!$C$7&gt;=1440,"",MOD(ROUND((Settings!$C$6+11*Settings!$C$7/1440)*1440,0),1440)/1440)</f>
        <v/>
      </c>
      <c r="AI20" s="8" t="n"/>
      <c r="AJ20" s="8" t="n"/>
      <c r="AK20" s="8" t="n"/>
      <c r="AL20" s="8" t="n"/>
      <c r="AN20" s="37">
        <f>IF(11*Settings!$C$7&gt;=1440,"",MOD(ROUND((Settings!$C$6+11*Settings!$C$7/1440)*1440,0),1440)/1440)</f>
        <v/>
      </c>
      <c r="AO20" s="8" t="n"/>
      <c r="AP20" s="8" t="n"/>
      <c r="AQ20" s="8" t="n"/>
      <c r="AR20" s="8" t="n"/>
      <c r="AT20" s="37">
        <f>IF(11*Settings!$C$7&gt;=1440,"",MOD(ROUND((Settings!$C$6+11*Settings!$C$7/1440)*1440,0),1440)/1440)</f>
        <v/>
      </c>
      <c r="AU20" s="8" t="n"/>
      <c r="AV20" s="8" t="n"/>
      <c r="AW20" s="8" t="n"/>
      <c r="AX20" s="8" t="n"/>
      <c r="BA20" s="13">
        <f>IF(Settings!$B$51="","",Settings!$B$51)</f>
        <v/>
      </c>
      <c r="BB20" s="14" t="b">
        <v>0</v>
      </c>
      <c r="BC20" s="14" t="b">
        <v>0</v>
      </c>
      <c r="BD20" s="14" t="b">
        <v>0</v>
      </c>
      <c r="BE20" s="14" t="b">
        <v>0</v>
      </c>
      <c r="BF20" s="14" t="b">
        <v>0</v>
      </c>
      <c r="BG20" s="14" t="b">
        <v>0</v>
      </c>
      <c r="BH20" s="14" t="b">
        <v>0</v>
      </c>
      <c r="BI20" s="34">
        <f>IF($BA20="","",COUNTIF(BB20:BH20,TRUE)/7)</f>
        <v/>
      </c>
      <c r="BJ20" s="36">
        <f>IF(BI20="","",REPT("█",ROUND(BI20*10,0))&amp;REPT("░",10-ROUND(BI20*10,0)))</f>
        <v/>
      </c>
    </row>
    <row r="21">
      <c r="J21" s="37">
        <f>IF(12*Settings!$C$7&gt;=1440,"",MOD(ROUND((Settings!$C$6+12*Settings!$C$7/1440)*1440,0),1440)/1440)</f>
        <v/>
      </c>
      <c r="K21" s="8" t="n"/>
      <c r="L21" s="8" t="n"/>
      <c r="M21" s="8" t="n"/>
      <c r="N21" s="8" t="n"/>
      <c r="P21" s="37">
        <f>IF(12*Settings!$C$7&gt;=1440,"",MOD(ROUND((Settings!$C$6+12*Settings!$C$7/1440)*1440,0),1440)/1440)</f>
        <v/>
      </c>
      <c r="Q21" s="8" t="n"/>
      <c r="R21" s="8" t="n"/>
      <c r="S21" s="8" t="n"/>
      <c r="T21" s="8" t="n"/>
      <c r="V21" s="37">
        <f>IF(12*Settings!$C$7&gt;=1440,"",MOD(ROUND((Settings!$C$6+12*Settings!$C$7/1440)*1440,0),1440)/1440)</f>
        <v/>
      </c>
      <c r="W21" s="8" t="n"/>
      <c r="X21" s="8" t="n"/>
      <c r="Y21" s="8" t="n"/>
      <c r="Z21" s="8" t="n"/>
      <c r="AB21" s="37">
        <f>IF(12*Settings!$C$7&gt;=1440,"",MOD(ROUND((Settings!$C$6+12*Settings!$C$7/1440)*1440,0),1440)/1440)</f>
        <v/>
      </c>
      <c r="AC21" s="8" t="n"/>
      <c r="AD21" s="8" t="n"/>
      <c r="AE21" s="8" t="n"/>
      <c r="AF21" s="8" t="n"/>
      <c r="AH21" s="37">
        <f>IF(12*Settings!$C$7&gt;=1440,"",MOD(ROUND((Settings!$C$6+12*Settings!$C$7/1440)*1440,0),1440)/1440)</f>
        <v/>
      </c>
      <c r="AI21" s="8" t="n"/>
      <c r="AJ21" s="8" t="n"/>
      <c r="AK21" s="8" t="n"/>
      <c r="AL21" s="8" t="n"/>
      <c r="AN21" s="37">
        <f>IF(12*Settings!$C$7&gt;=1440,"",MOD(ROUND((Settings!$C$6+12*Settings!$C$7/1440)*1440,0),1440)/1440)</f>
        <v/>
      </c>
      <c r="AO21" s="8" t="n"/>
      <c r="AP21" s="8" t="n"/>
      <c r="AQ21" s="8" t="n"/>
      <c r="AR21" s="8" t="n"/>
      <c r="AT21" s="37">
        <f>IF(12*Settings!$C$7&gt;=1440,"",MOD(ROUND((Settings!$C$6+12*Settings!$C$7/1440)*1440,0),1440)/1440)</f>
        <v/>
      </c>
      <c r="AU21" s="8" t="n"/>
      <c r="AV21" s="8" t="n"/>
      <c r="AW21" s="8" t="n"/>
      <c r="AX21" s="8" t="n"/>
      <c r="BA21" s="13">
        <f>IF(Settings!$B$52="","",Settings!$B$52)</f>
        <v/>
      </c>
      <c r="BB21" s="14" t="b">
        <v>0</v>
      </c>
      <c r="BC21" s="14" t="b">
        <v>0</v>
      </c>
      <c r="BD21" s="14" t="b">
        <v>0</v>
      </c>
      <c r="BE21" s="14" t="b">
        <v>0</v>
      </c>
      <c r="BF21" s="14" t="b">
        <v>0</v>
      </c>
      <c r="BG21" s="14" t="b">
        <v>0</v>
      </c>
      <c r="BH21" s="14" t="b">
        <v>0</v>
      </c>
      <c r="BI21" s="34">
        <f>IF($BA21="","",COUNTIF(BB21:BH21,TRUE)/7)</f>
        <v/>
      </c>
      <c r="BJ21" s="36">
        <f>IF(BI21="","",REPT("█",ROUND(BI21*10,0))&amp;REPT("░",10-ROUND(BI21*10,0)))</f>
        <v/>
      </c>
    </row>
    <row r="22">
      <c r="B22" s="6">
        <f>IF(Settings!$C$103="",Settings!$B$103,Settings!$C$103)</f>
        <v/>
      </c>
      <c r="C22" s="6" t="n"/>
      <c r="D22" s="6" t="n"/>
      <c r="E22" s="6" t="n"/>
      <c r="F22" s="6" t="n"/>
      <c r="G22" s="6" t="n"/>
      <c r="H22" s="21">
        <f>IFERROR(SUMPRODUCT((C23:C27&lt;&gt;"")*(B23:B27=TRUE))/SUMPRODUCT((C23:C27&lt;&gt;"")*1),0)</f>
        <v/>
      </c>
      <c r="J22" s="37">
        <f>IF(13*Settings!$C$7&gt;=1440,"",MOD(ROUND((Settings!$C$6+13*Settings!$C$7/1440)*1440,0),1440)/1440)</f>
        <v/>
      </c>
      <c r="K22" s="8" t="n"/>
      <c r="L22" s="8" t="n"/>
      <c r="M22" s="8" t="n"/>
      <c r="N22" s="8" t="n"/>
      <c r="P22" s="37">
        <f>IF(13*Settings!$C$7&gt;=1440,"",MOD(ROUND((Settings!$C$6+13*Settings!$C$7/1440)*1440,0),1440)/1440)</f>
        <v/>
      </c>
      <c r="Q22" s="8" t="n"/>
      <c r="R22" s="8" t="n"/>
      <c r="S22" s="8" t="n"/>
      <c r="T22" s="8" t="n"/>
      <c r="V22" s="37">
        <f>IF(13*Settings!$C$7&gt;=1440,"",MOD(ROUND((Settings!$C$6+13*Settings!$C$7/1440)*1440,0),1440)/1440)</f>
        <v/>
      </c>
      <c r="W22" s="8" t="n"/>
      <c r="X22" s="8" t="n"/>
      <c r="Y22" s="8" t="n"/>
      <c r="Z22" s="8" t="n"/>
      <c r="AB22" s="37">
        <f>IF(13*Settings!$C$7&gt;=1440,"",MOD(ROUND((Settings!$C$6+13*Settings!$C$7/1440)*1440,0),1440)/1440)</f>
        <v/>
      </c>
      <c r="AC22" s="8" t="n"/>
      <c r="AD22" s="8" t="n"/>
      <c r="AE22" s="8" t="n"/>
      <c r="AF22" s="8" t="n"/>
      <c r="AH22" s="37">
        <f>IF(13*Settings!$C$7&gt;=1440,"",MOD(ROUND((Settings!$C$6+13*Settings!$C$7/1440)*1440,0),1440)/1440)</f>
        <v/>
      </c>
      <c r="AI22" s="8" t="n"/>
      <c r="AJ22" s="8" t="n"/>
      <c r="AK22" s="8" t="n"/>
      <c r="AL22" s="8" t="n"/>
      <c r="AN22" s="37">
        <f>IF(13*Settings!$C$7&gt;=1440,"",MOD(ROUND((Settings!$C$6+13*Settings!$C$7/1440)*1440,0),1440)/1440)</f>
        <v/>
      </c>
      <c r="AO22" s="8" t="n"/>
      <c r="AP22" s="8" t="n"/>
      <c r="AQ22" s="8" t="n"/>
      <c r="AR22" s="8" t="n"/>
      <c r="AT22" s="37">
        <f>IF(13*Settings!$C$7&gt;=1440,"",MOD(ROUND((Settings!$C$6+13*Settings!$C$7/1440)*1440,0),1440)/1440)</f>
        <v/>
      </c>
      <c r="AU22" s="8" t="n"/>
      <c r="AV22" s="8" t="n"/>
      <c r="AW22" s="8" t="n"/>
      <c r="AX22" s="8" t="n"/>
      <c r="BA22" s="13">
        <f>IF(Settings!$B$53="","",Settings!$B$53)</f>
        <v/>
      </c>
      <c r="BB22" s="14" t="b">
        <v>0</v>
      </c>
      <c r="BC22" s="14" t="b">
        <v>0</v>
      </c>
      <c r="BD22" s="14" t="b">
        <v>0</v>
      </c>
      <c r="BE22" s="14" t="b">
        <v>0</v>
      </c>
      <c r="BF22" s="14" t="b">
        <v>0</v>
      </c>
      <c r="BG22" s="14" t="b">
        <v>0</v>
      </c>
      <c r="BH22" s="14" t="b">
        <v>0</v>
      </c>
      <c r="BI22" s="34">
        <f>IF($BA22="","",COUNTIF(BB22:BH22,TRUE)/7)</f>
        <v/>
      </c>
      <c r="BJ22" s="36">
        <f>IF(BI22="","",REPT("█",ROUND(BI22*10,0))&amp;REPT("░",10-ROUND(BI22*10,0)))</f>
        <v/>
      </c>
    </row>
    <row r="23">
      <c r="B23" s="14" t="b">
        <v>0</v>
      </c>
      <c r="C23" s="8" t="n"/>
      <c r="D23" s="8" t="n"/>
      <c r="E23" s="8" t="n"/>
      <c r="F23" s="8" t="n"/>
      <c r="G23" s="8" t="n"/>
      <c r="H23" s="8" t="n"/>
      <c r="J23" s="37">
        <f>IF(14*Settings!$C$7&gt;=1440,"",MOD(ROUND((Settings!$C$6+14*Settings!$C$7/1440)*1440,0),1440)/1440)</f>
        <v/>
      </c>
      <c r="K23" s="8" t="n"/>
      <c r="L23" s="8" t="n"/>
      <c r="M23" s="8" t="n"/>
      <c r="N23" s="8" t="n"/>
      <c r="P23" s="37">
        <f>IF(14*Settings!$C$7&gt;=1440,"",MOD(ROUND((Settings!$C$6+14*Settings!$C$7/1440)*1440,0),1440)/1440)</f>
        <v/>
      </c>
      <c r="Q23" s="8" t="n"/>
      <c r="R23" s="8" t="n"/>
      <c r="S23" s="8" t="n"/>
      <c r="T23" s="8" t="n"/>
      <c r="V23" s="37">
        <f>IF(14*Settings!$C$7&gt;=1440,"",MOD(ROUND((Settings!$C$6+14*Settings!$C$7/1440)*1440,0),1440)/1440)</f>
        <v/>
      </c>
      <c r="W23" s="8" t="n"/>
      <c r="X23" s="8" t="n"/>
      <c r="Y23" s="8" t="n"/>
      <c r="Z23" s="8" t="n"/>
      <c r="AB23" s="37">
        <f>IF(14*Settings!$C$7&gt;=1440,"",MOD(ROUND((Settings!$C$6+14*Settings!$C$7/1440)*1440,0),1440)/1440)</f>
        <v/>
      </c>
      <c r="AC23" s="8" t="n"/>
      <c r="AD23" s="8" t="n"/>
      <c r="AE23" s="8" t="n"/>
      <c r="AF23" s="8" t="n"/>
      <c r="AH23" s="37">
        <f>IF(14*Settings!$C$7&gt;=1440,"",MOD(ROUND((Settings!$C$6+14*Settings!$C$7/1440)*1440,0),1440)/1440)</f>
        <v/>
      </c>
      <c r="AI23" s="8" t="n"/>
      <c r="AJ23" s="8" t="n"/>
      <c r="AK23" s="8" t="n"/>
      <c r="AL23" s="8" t="n"/>
      <c r="AN23" s="37">
        <f>IF(14*Settings!$C$7&gt;=1440,"",MOD(ROUND((Settings!$C$6+14*Settings!$C$7/1440)*1440,0),1440)/1440)</f>
        <v/>
      </c>
      <c r="AO23" s="8" t="n"/>
      <c r="AP23" s="8" t="n"/>
      <c r="AQ23" s="8" t="n"/>
      <c r="AR23" s="8" t="n"/>
      <c r="AT23" s="37">
        <f>IF(14*Settings!$C$7&gt;=1440,"",MOD(ROUND((Settings!$C$6+14*Settings!$C$7/1440)*1440,0),1440)/1440)</f>
        <v/>
      </c>
      <c r="AU23" s="8" t="n"/>
      <c r="AV23" s="8" t="n"/>
      <c r="AW23" s="8" t="n"/>
      <c r="AX23" s="8" t="n"/>
      <c r="BA23" s="13">
        <f>IF(Settings!$B$54="","",Settings!$B$54)</f>
        <v/>
      </c>
      <c r="BB23" s="14" t="b">
        <v>0</v>
      </c>
      <c r="BC23" s="14" t="b">
        <v>0</v>
      </c>
      <c r="BD23" s="14" t="b">
        <v>0</v>
      </c>
      <c r="BE23" s="14" t="b">
        <v>0</v>
      </c>
      <c r="BF23" s="14" t="b">
        <v>0</v>
      </c>
      <c r="BG23" s="14" t="b">
        <v>0</v>
      </c>
      <c r="BH23" s="14" t="b">
        <v>0</v>
      </c>
      <c r="BI23" s="34">
        <f>IF($BA23="","",COUNTIF(BB23:BH23,TRUE)/7)</f>
        <v/>
      </c>
      <c r="BJ23" s="36">
        <f>IF(BI23="","",REPT("█",ROUND(BI23*10,0))&amp;REPT("░",10-ROUND(BI23*10,0)))</f>
        <v/>
      </c>
    </row>
    <row r="24">
      <c r="B24" s="14" t="b">
        <v>0</v>
      </c>
      <c r="C24" s="8" t="n"/>
      <c r="D24" s="8" t="n"/>
      <c r="E24" s="8" t="n"/>
      <c r="F24" s="8" t="n"/>
      <c r="G24" s="8" t="n"/>
      <c r="H24" s="8" t="n"/>
      <c r="J24" s="37">
        <f>IF(15*Settings!$C$7&gt;=1440,"",MOD(ROUND((Settings!$C$6+15*Settings!$C$7/1440)*1440,0),1440)/1440)</f>
        <v/>
      </c>
      <c r="K24" s="8" t="n"/>
      <c r="L24" s="8" t="n"/>
      <c r="M24" s="8" t="n"/>
      <c r="N24" s="8" t="n"/>
      <c r="P24" s="37">
        <f>IF(15*Settings!$C$7&gt;=1440,"",MOD(ROUND((Settings!$C$6+15*Settings!$C$7/1440)*1440,0),1440)/1440)</f>
        <v/>
      </c>
      <c r="Q24" s="8" t="n"/>
      <c r="R24" s="8" t="n"/>
      <c r="S24" s="8" t="n"/>
      <c r="T24" s="8" t="n"/>
      <c r="V24" s="37">
        <f>IF(15*Settings!$C$7&gt;=1440,"",MOD(ROUND((Settings!$C$6+15*Settings!$C$7/1440)*1440,0),1440)/1440)</f>
        <v/>
      </c>
      <c r="W24" s="8" t="n"/>
      <c r="X24" s="8" t="n"/>
      <c r="Y24" s="8" t="n"/>
      <c r="Z24" s="8" t="n"/>
      <c r="AB24" s="37">
        <f>IF(15*Settings!$C$7&gt;=1440,"",MOD(ROUND((Settings!$C$6+15*Settings!$C$7/1440)*1440,0),1440)/1440)</f>
        <v/>
      </c>
      <c r="AC24" s="8" t="n"/>
      <c r="AD24" s="8" t="n"/>
      <c r="AE24" s="8" t="n"/>
      <c r="AF24" s="8" t="n"/>
      <c r="AH24" s="37">
        <f>IF(15*Settings!$C$7&gt;=1440,"",MOD(ROUND((Settings!$C$6+15*Settings!$C$7/1440)*1440,0),1440)/1440)</f>
        <v/>
      </c>
      <c r="AI24" s="8" t="n"/>
      <c r="AJ24" s="8" t="n"/>
      <c r="AK24" s="8" t="n"/>
      <c r="AL24" s="8" t="n"/>
      <c r="AN24" s="37">
        <f>IF(15*Settings!$C$7&gt;=1440,"",MOD(ROUND((Settings!$C$6+15*Settings!$C$7/1440)*1440,0),1440)/1440)</f>
        <v/>
      </c>
      <c r="AO24" s="8" t="n"/>
      <c r="AP24" s="8" t="n"/>
      <c r="AQ24" s="8" t="n"/>
      <c r="AR24" s="8" t="n"/>
      <c r="AT24" s="37">
        <f>IF(15*Settings!$C$7&gt;=1440,"",MOD(ROUND((Settings!$C$6+15*Settings!$C$7/1440)*1440,0),1440)/1440)</f>
        <v/>
      </c>
      <c r="AU24" s="8" t="n"/>
      <c r="AV24" s="8" t="n"/>
      <c r="AW24" s="8" t="n"/>
      <c r="AX24" s="8" t="n"/>
      <c r="BA24" s="13">
        <f>IF(Settings!$B$55="","",Settings!$B$55)</f>
        <v/>
      </c>
      <c r="BB24" s="14" t="b">
        <v>0</v>
      </c>
      <c r="BC24" s="14" t="b">
        <v>0</v>
      </c>
      <c r="BD24" s="14" t="b">
        <v>0</v>
      </c>
      <c r="BE24" s="14" t="b">
        <v>0</v>
      </c>
      <c r="BF24" s="14" t="b">
        <v>0</v>
      </c>
      <c r="BG24" s="14" t="b">
        <v>0</v>
      </c>
      <c r="BH24" s="14" t="b">
        <v>0</v>
      </c>
      <c r="BI24" s="34">
        <f>IF($BA24="","",COUNTIF(BB24:BH24,TRUE)/7)</f>
        <v/>
      </c>
      <c r="BJ24" s="36">
        <f>IF(BI24="","",REPT("█",ROUND(BI24*10,0))&amp;REPT("░",10-ROUND(BI24*10,0)))</f>
        <v/>
      </c>
    </row>
    <row r="25">
      <c r="B25" s="14" t="b">
        <v>0</v>
      </c>
      <c r="C25" s="8" t="n"/>
      <c r="D25" s="8" t="n"/>
      <c r="E25" s="8" t="n"/>
      <c r="F25" s="8" t="n"/>
      <c r="G25" s="8" t="n"/>
      <c r="H25" s="8" t="n"/>
      <c r="J25" s="37">
        <f>IF(16*Settings!$C$7&gt;=1440,"",MOD(ROUND((Settings!$C$6+16*Settings!$C$7/1440)*1440,0),1440)/1440)</f>
        <v/>
      </c>
      <c r="K25" s="8" t="n"/>
      <c r="L25" s="8" t="n"/>
      <c r="M25" s="8" t="n"/>
      <c r="N25" s="8" t="n"/>
      <c r="P25" s="37">
        <f>IF(16*Settings!$C$7&gt;=1440,"",MOD(ROUND((Settings!$C$6+16*Settings!$C$7/1440)*1440,0),1440)/1440)</f>
        <v/>
      </c>
      <c r="Q25" s="8" t="n"/>
      <c r="R25" s="8" t="n"/>
      <c r="S25" s="8" t="n"/>
      <c r="T25" s="8" t="n"/>
      <c r="V25" s="37">
        <f>IF(16*Settings!$C$7&gt;=1440,"",MOD(ROUND((Settings!$C$6+16*Settings!$C$7/1440)*1440,0),1440)/1440)</f>
        <v/>
      </c>
      <c r="W25" s="8" t="n"/>
      <c r="X25" s="8" t="n"/>
      <c r="Y25" s="8" t="n"/>
      <c r="Z25" s="8" t="n"/>
      <c r="AB25" s="37">
        <f>IF(16*Settings!$C$7&gt;=1440,"",MOD(ROUND((Settings!$C$6+16*Settings!$C$7/1440)*1440,0),1440)/1440)</f>
        <v/>
      </c>
      <c r="AC25" s="8" t="n"/>
      <c r="AD25" s="8" t="n"/>
      <c r="AE25" s="8" t="n"/>
      <c r="AF25" s="8" t="n"/>
      <c r="AH25" s="37">
        <f>IF(16*Settings!$C$7&gt;=1440,"",MOD(ROUND((Settings!$C$6+16*Settings!$C$7/1440)*1440,0),1440)/1440)</f>
        <v/>
      </c>
      <c r="AI25" s="8" t="n"/>
      <c r="AJ25" s="8" t="n"/>
      <c r="AK25" s="8" t="n"/>
      <c r="AL25" s="8" t="n"/>
      <c r="AN25" s="37">
        <f>IF(16*Settings!$C$7&gt;=1440,"",MOD(ROUND((Settings!$C$6+16*Settings!$C$7/1440)*1440,0),1440)/1440)</f>
        <v/>
      </c>
      <c r="AO25" s="8" t="n"/>
      <c r="AP25" s="8" t="n"/>
      <c r="AQ25" s="8" t="n"/>
      <c r="AR25" s="8" t="n"/>
      <c r="AT25" s="37">
        <f>IF(16*Settings!$C$7&gt;=1440,"",MOD(ROUND((Settings!$C$6+16*Settings!$C$7/1440)*1440,0),1440)/1440)</f>
        <v/>
      </c>
      <c r="AU25" s="8" t="n"/>
      <c r="AV25" s="8" t="n"/>
      <c r="AW25" s="8" t="n"/>
      <c r="AX25" s="8" t="n"/>
      <c r="BA25" s="13">
        <f>IF(Settings!$B$56="","",Settings!$B$56)</f>
        <v/>
      </c>
      <c r="BB25" s="14" t="b">
        <v>0</v>
      </c>
      <c r="BC25" s="14" t="b">
        <v>0</v>
      </c>
      <c r="BD25" s="14" t="b">
        <v>0</v>
      </c>
      <c r="BE25" s="14" t="b">
        <v>0</v>
      </c>
      <c r="BF25" s="14" t="b">
        <v>0</v>
      </c>
      <c r="BG25" s="14" t="b">
        <v>0</v>
      </c>
      <c r="BH25" s="14" t="b">
        <v>0</v>
      </c>
      <c r="BI25" s="34">
        <f>IF($BA25="","",COUNTIF(BB25:BH25,TRUE)/7)</f>
        <v/>
      </c>
      <c r="BJ25" s="36">
        <f>IF(BI25="","",REPT("█",ROUND(BI25*10,0))&amp;REPT("░",10-ROUND(BI25*10,0)))</f>
        <v/>
      </c>
    </row>
    <row r="26">
      <c r="B26" s="14" t="b">
        <v>0</v>
      </c>
      <c r="C26" s="8" t="n"/>
      <c r="D26" s="8" t="n"/>
      <c r="E26" s="8" t="n"/>
      <c r="F26" s="8" t="n"/>
      <c r="G26" s="8" t="n"/>
      <c r="H26" s="8" t="n"/>
      <c r="J26" s="37">
        <f>IF(17*Settings!$C$7&gt;=1440,"",MOD(ROUND((Settings!$C$6+17*Settings!$C$7/1440)*1440,0),1440)/1440)</f>
        <v/>
      </c>
      <c r="K26" s="8" t="n"/>
      <c r="L26" s="8" t="n"/>
      <c r="M26" s="8" t="n"/>
      <c r="N26" s="8" t="n"/>
      <c r="P26" s="37">
        <f>IF(17*Settings!$C$7&gt;=1440,"",MOD(ROUND((Settings!$C$6+17*Settings!$C$7/1440)*1440,0),1440)/1440)</f>
        <v/>
      </c>
      <c r="Q26" s="8" t="n"/>
      <c r="R26" s="8" t="n"/>
      <c r="S26" s="8" t="n"/>
      <c r="T26" s="8" t="n"/>
      <c r="V26" s="37">
        <f>IF(17*Settings!$C$7&gt;=1440,"",MOD(ROUND((Settings!$C$6+17*Settings!$C$7/1440)*1440,0),1440)/1440)</f>
        <v/>
      </c>
      <c r="W26" s="8" t="n"/>
      <c r="X26" s="8" t="n"/>
      <c r="Y26" s="8" t="n"/>
      <c r="Z26" s="8" t="n"/>
      <c r="AB26" s="37">
        <f>IF(17*Settings!$C$7&gt;=1440,"",MOD(ROUND((Settings!$C$6+17*Settings!$C$7/1440)*1440,0),1440)/1440)</f>
        <v/>
      </c>
      <c r="AC26" s="8" t="n"/>
      <c r="AD26" s="8" t="n"/>
      <c r="AE26" s="8" t="n"/>
      <c r="AF26" s="8" t="n"/>
      <c r="AH26" s="37">
        <f>IF(17*Settings!$C$7&gt;=1440,"",MOD(ROUND((Settings!$C$6+17*Settings!$C$7/1440)*1440,0),1440)/1440)</f>
        <v/>
      </c>
      <c r="AI26" s="8" t="n"/>
      <c r="AJ26" s="8" t="n"/>
      <c r="AK26" s="8" t="n"/>
      <c r="AL26" s="8" t="n"/>
      <c r="AN26" s="37">
        <f>IF(17*Settings!$C$7&gt;=1440,"",MOD(ROUND((Settings!$C$6+17*Settings!$C$7/1440)*1440,0),1440)/1440)</f>
        <v/>
      </c>
      <c r="AO26" s="8" t="n"/>
      <c r="AP26" s="8" t="n"/>
      <c r="AQ26" s="8" t="n"/>
      <c r="AR26" s="8" t="n"/>
      <c r="AT26" s="37">
        <f>IF(17*Settings!$C$7&gt;=1440,"",MOD(ROUND((Settings!$C$6+17*Settings!$C$7/1440)*1440,0),1440)/1440)</f>
        <v/>
      </c>
      <c r="AU26" s="8" t="n"/>
      <c r="AV26" s="8" t="n"/>
      <c r="AW26" s="8" t="n"/>
      <c r="AX26" s="8" t="n"/>
      <c r="BA26" s="13">
        <f>IF(Settings!$B$57="","",Settings!$B$57)</f>
        <v/>
      </c>
      <c r="BB26" s="14" t="b">
        <v>0</v>
      </c>
      <c r="BC26" s="14" t="b">
        <v>0</v>
      </c>
      <c r="BD26" s="14" t="b">
        <v>0</v>
      </c>
      <c r="BE26" s="14" t="b">
        <v>0</v>
      </c>
      <c r="BF26" s="14" t="b">
        <v>0</v>
      </c>
      <c r="BG26" s="14" t="b">
        <v>0</v>
      </c>
      <c r="BH26" s="14" t="b">
        <v>0</v>
      </c>
      <c r="BI26" s="34">
        <f>IF($BA26="","",COUNTIF(BB26:BH26,TRUE)/7)</f>
        <v/>
      </c>
      <c r="BJ26" s="36">
        <f>IF(BI26="","",REPT("█",ROUND(BI26*10,0))&amp;REPT("░",10-ROUND(BI26*10,0)))</f>
        <v/>
      </c>
    </row>
    <row r="27">
      <c r="B27" s="14" t="b">
        <v>0</v>
      </c>
      <c r="C27" s="8" t="n"/>
      <c r="D27" s="8" t="n"/>
      <c r="E27" s="8" t="n"/>
      <c r="F27" s="8" t="n"/>
      <c r="G27" s="8" t="n"/>
      <c r="H27" s="8" t="n"/>
      <c r="J27" s="37">
        <f>IF(18*Settings!$C$7&gt;=1440,"",MOD(ROUND((Settings!$C$6+18*Settings!$C$7/1440)*1440,0),1440)/1440)</f>
        <v/>
      </c>
      <c r="K27" s="8" t="n"/>
      <c r="L27" s="8" t="n"/>
      <c r="M27" s="8" t="n"/>
      <c r="N27" s="8" t="n"/>
      <c r="P27" s="37">
        <f>IF(18*Settings!$C$7&gt;=1440,"",MOD(ROUND((Settings!$C$6+18*Settings!$C$7/1440)*1440,0),1440)/1440)</f>
        <v/>
      </c>
      <c r="Q27" s="8" t="n"/>
      <c r="R27" s="8" t="n"/>
      <c r="S27" s="8" t="n"/>
      <c r="T27" s="8" t="n"/>
      <c r="V27" s="37">
        <f>IF(18*Settings!$C$7&gt;=1440,"",MOD(ROUND((Settings!$C$6+18*Settings!$C$7/1440)*1440,0),1440)/1440)</f>
        <v/>
      </c>
      <c r="W27" s="8" t="n"/>
      <c r="X27" s="8" t="n"/>
      <c r="Y27" s="8" t="n"/>
      <c r="Z27" s="8" t="n"/>
      <c r="AB27" s="37">
        <f>IF(18*Settings!$C$7&gt;=1440,"",MOD(ROUND((Settings!$C$6+18*Settings!$C$7/1440)*1440,0),1440)/1440)</f>
        <v/>
      </c>
      <c r="AC27" s="8" t="n"/>
      <c r="AD27" s="8" t="n"/>
      <c r="AE27" s="8" t="n"/>
      <c r="AF27" s="8" t="n"/>
      <c r="AH27" s="37">
        <f>IF(18*Settings!$C$7&gt;=1440,"",MOD(ROUND((Settings!$C$6+18*Settings!$C$7/1440)*1440,0),1440)/1440)</f>
        <v/>
      </c>
      <c r="AI27" s="8" t="n"/>
      <c r="AJ27" s="8" t="n"/>
      <c r="AK27" s="8" t="n"/>
      <c r="AL27" s="8" t="n"/>
      <c r="AN27" s="37">
        <f>IF(18*Settings!$C$7&gt;=1440,"",MOD(ROUND((Settings!$C$6+18*Settings!$C$7/1440)*1440,0),1440)/1440)</f>
        <v/>
      </c>
      <c r="AO27" s="8" t="n"/>
      <c r="AP27" s="8" t="n"/>
      <c r="AQ27" s="8" t="n"/>
      <c r="AR27" s="8" t="n"/>
      <c r="AT27" s="37">
        <f>IF(18*Settings!$C$7&gt;=1440,"",MOD(ROUND((Settings!$C$6+18*Settings!$C$7/1440)*1440,0),1440)/1440)</f>
        <v/>
      </c>
      <c r="AU27" s="8" t="n"/>
      <c r="AV27" s="8" t="n"/>
      <c r="AW27" s="8" t="n"/>
      <c r="AX27" s="8" t="n"/>
      <c r="BA27" s="38" t="inlineStr">
        <is>
          <t>Daily completion</t>
        </is>
      </c>
      <c r="BB27" s="34">
        <f>IFERROR(SUMPRODUCT(($BA$6:$BA$26&lt;&gt;"")*(BB$6:BB$26=TRUE))/SUMPRODUCT(($BA$6:$BA$26&lt;&gt;"")*1),0)</f>
        <v/>
      </c>
      <c r="BC27" s="34">
        <f>IFERROR(SUMPRODUCT(($BA$6:$BA$26&lt;&gt;"")*(BC$6:BC$26=TRUE))/SUMPRODUCT(($BA$6:$BA$26&lt;&gt;"")*1),0)</f>
        <v/>
      </c>
      <c r="BD27" s="34">
        <f>IFERROR(SUMPRODUCT(($BA$6:$BA$26&lt;&gt;"")*(BD$6:BD$26=TRUE))/SUMPRODUCT(($BA$6:$BA$26&lt;&gt;"")*1),0)</f>
        <v/>
      </c>
      <c r="BE27" s="34">
        <f>IFERROR(SUMPRODUCT(($BA$6:$BA$26&lt;&gt;"")*(BE$6:BE$26=TRUE))/SUMPRODUCT(($BA$6:$BA$26&lt;&gt;"")*1),0)</f>
        <v/>
      </c>
      <c r="BF27" s="34">
        <f>IFERROR(SUMPRODUCT(($BA$6:$BA$26&lt;&gt;"")*(BF$6:BF$26=TRUE))/SUMPRODUCT(($BA$6:$BA$26&lt;&gt;"")*1),0)</f>
        <v/>
      </c>
      <c r="BG27" s="34">
        <f>IFERROR(SUMPRODUCT(($BA$6:$BA$26&lt;&gt;"")*(BG$6:BG$26=TRUE))/SUMPRODUCT(($BA$6:$BA$26&lt;&gt;"")*1),0)</f>
        <v/>
      </c>
      <c r="BH27" s="34">
        <f>IFERROR(SUMPRODUCT(($BA$6:$BA$26&lt;&gt;"")*(BH$6:BH$26=TRUE))/SUMPRODUCT(($BA$6:$BA$26&lt;&gt;"")*1),0)</f>
        <v/>
      </c>
      <c r="BI27" s="34">
        <f>IFERROR(SUMPRODUCT(($BA$6:$BA$26&lt;&gt;"")*($BB$6:$BH$26=TRUE))/(SUMPRODUCT(($BA$6:$BA$26&lt;&gt;"")*1)*7),0)</f>
        <v/>
      </c>
      <c r="BJ27" s="36">
        <f>IF(BI27="","",REPT("█",ROUND(BI27*10,0))&amp;REPT("░",10-ROUND(BI27*10,0)))</f>
        <v/>
      </c>
    </row>
    <row r="28">
      <c r="J28" s="37">
        <f>IF(19*Settings!$C$7&gt;=1440,"",MOD(ROUND((Settings!$C$6+19*Settings!$C$7/1440)*1440,0),1440)/1440)</f>
        <v/>
      </c>
      <c r="K28" s="8" t="n"/>
      <c r="L28" s="8" t="n"/>
      <c r="M28" s="8" t="n"/>
      <c r="N28" s="8" t="n"/>
      <c r="P28" s="37">
        <f>IF(19*Settings!$C$7&gt;=1440,"",MOD(ROUND((Settings!$C$6+19*Settings!$C$7/1440)*1440,0),1440)/1440)</f>
        <v/>
      </c>
      <c r="Q28" s="8" t="n"/>
      <c r="R28" s="8" t="n"/>
      <c r="S28" s="8" t="n"/>
      <c r="T28" s="8" t="n"/>
      <c r="V28" s="37">
        <f>IF(19*Settings!$C$7&gt;=1440,"",MOD(ROUND((Settings!$C$6+19*Settings!$C$7/1440)*1440,0),1440)/1440)</f>
        <v/>
      </c>
      <c r="W28" s="8" t="n"/>
      <c r="X28" s="8" t="n"/>
      <c r="Y28" s="8" t="n"/>
      <c r="Z28" s="8" t="n"/>
      <c r="AB28" s="37">
        <f>IF(19*Settings!$C$7&gt;=1440,"",MOD(ROUND((Settings!$C$6+19*Settings!$C$7/1440)*1440,0),1440)/1440)</f>
        <v/>
      </c>
      <c r="AC28" s="8" t="n"/>
      <c r="AD28" s="8" t="n"/>
      <c r="AE28" s="8" t="n"/>
      <c r="AF28" s="8" t="n"/>
      <c r="AH28" s="37">
        <f>IF(19*Settings!$C$7&gt;=1440,"",MOD(ROUND((Settings!$C$6+19*Settings!$C$7/1440)*1440,0),1440)/1440)</f>
        <v/>
      </c>
      <c r="AI28" s="8" t="n"/>
      <c r="AJ28" s="8" t="n"/>
      <c r="AK28" s="8" t="n"/>
      <c r="AL28" s="8" t="n"/>
      <c r="AN28" s="37">
        <f>IF(19*Settings!$C$7&gt;=1440,"",MOD(ROUND((Settings!$C$6+19*Settings!$C$7/1440)*1440,0),1440)/1440)</f>
        <v/>
      </c>
      <c r="AO28" s="8" t="n"/>
      <c r="AP28" s="8" t="n"/>
      <c r="AQ28" s="8" t="n"/>
      <c r="AR28" s="8" t="n"/>
      <c r="AT28" s="37">
        <f>IF(19*Settings!$C$7&gt;=1440,"",MOD(ROUND((Settings!$C$6+19*Settings!$C$7/1440)*1440,0),1440)/1440)</f>
        <v/>
      </c>
      <c r="AU28" s="8" t="n"/>
      <c r="AV28" s="8" t="n"/>
      <c r="AW28" s="8" t="n"/>
      <c r="AX28" s="8" t="n"/>
    </row>
    <row r="29">
      <c r="J29" s="37">
        <f>IF(20*Settings!$C$7&gt;=1440,"",MOD(ROUND((Settings!$C$6+20*Settings!$C$7/1440)*1440,0),1440)/1440)</f>
        <v/>
      </c>
      <c r="K29" s="8" t="n"/>
      <c r="L29" s="8" t="n"/>
      <c r="M29" s="8" t="n"/>
      <c r="N29" s="8" t="n"/>
      <c r="P29" s="37">
        <f>IF(20*Settings!$C$7&gt;=1440,"",MOD(ROUND((Settings!$C$6+20*Settings!$C$7/1440)*1440,0),1440)/1440)</f>
        <v/>
      </c>
      <c r="Q29" s="8" t="n"/>
      <c r="R29" s="8" t="n"/>
      <c r="S29" s="8" t="n"/>
      <c r="T29" s="8" t="n"/>
      <c r="V29" s="37">
        <f>IF(20*Settings!$C$7&gt;=1440,"",MOD(ROUND((Settings!$C$6+20*Settings!$C$7/1440)*1440,0),1440)/1440)</f>
        <v/>
      </c>
      <c r="W29" s="8" t="n"/>
      <c r="X29" s="8" t="n"/>
      <c r="Y29" s="8" t="n"/>
      <c r="Z29" s="8" t="n"/>
      <c r="AB29" s="37">
        <f>IF(20*Settings!$C$7&gt;=1440,"",MOD(ROUND((Settings!$C$6+20*Settings!$C$7/1440)*1440,0),1440)/1440)</f>
        <v/>
      </c>
      <c r="AC29" s="8" t="n"/>
      <c r="AD29" s="8" t="n"/>
      <c r="AE29" s="8" t="n"/>
      <c r="AF29" s="8" t="n"/>
      <c r="AH29" s="37">
        <f>IF(20*Settings!$C$7&gt;=1440,"",MOD(ROUND((Settings!$C$6+20*Settings!$C$7/1440)*1440,0),1440)/1440)</f>
        <v/>
      </c>
      <c r="AI29" s="8" t="n"/>
      <c r="AJ29" s="8" t="n"/>
      <c r="AK29" s="8" t="n"/>
      <c r="AL29" s="8" t="n"/>
      <c r="AN29" s="37">
        <f>IF(20*Settings!$C$7&gt;=1440,"",MOD(ROUND((Settings!$C$6+20*Settings!$C$7/1440)*1440,0),1440)/1440)</f>
        <v/>
      </c>
      <c r="AO29" s="8" t="n"/>
      <c r="AP29" s="8" t="n"/>
      <c r="AQ29" s="8" t="n"/>
      <c r="AR29" s="8" t="n"/>
      <c r="AT29" s="37">
        <f>IF(20*Settings!$C$7&gt;=1440,"",MOD(ROUND((Settings!$C$6+20*Settings!$C$7/1440)*1440,0),1440)/1440)</f>
        <v/>
      </c>
      <c r="AU29" s="8" t="n"/>
      <c r="AV29" s="8" t="n"/>
      <c r="AW29" s="8" t="n"/>
      <c r="AX29" s="8" t="n"/>
    </row>
    <row r="30">
      <c r="J30" s="37">
        <f>IF(21*Settings!$C$7&gt;=1440,"",MOD(ROUND((Settings!$C$6+21*Settings!$C$7/1440)*1440,0),1440)/1440)</f>
        <v/>
      </c>
      <c r="K30" s="8" t="n"/>
      <c r="L30" s="8" t="n"/>
      <c r="M30" s="8" t="n"/>
      <c r="N30" s="8" t="n"/>
      <c r="P30" s="37">
        <f>IF(21*Settings!$C$7&gt;=1440,"",MOD(ROUND((Settings!$C$6+21*Settings!$C$7/1440)*1440,0),1440)/1440)</f>
        <v/>
      </c>
      <c r="Q30" s="8" t="n"/>
      <c r="R30" s="8" t="n"/>
      <c r="S30" s="8" t="n"/>
      <c r="T30" s="8" t="n"/>
      <c r="V30" s="37">
        <f>IF(21*Settings!$C$7&gt;=1440,"",MOD(ROUND((Settings!$C$6+21*Settings!$C$7/1440)*1440,0),1440)/1440)</f>
        <v/>
      </c>
      <c r="W30" s="8" t="n"/>
      <c r="X30" s="8" t="n"/>
      <c r="Y30" s="8" t="n"/>
      <c r="Z30" s="8" t="n"/>
      <c r="AB30" s="37">
        <f>IF(21*Settings!$C$7&gt;=1440,"",MOD(ROUND((Settings!$C$6+21*Settings!$C$7/1440)*1440,0),1440)/1440)</f>
        <v/>
      </c>
      <c r="AC30" s="8" t="n"/>
      <c r="AD30" s="8" t="n"/>
      <c r="AE30" s="8" t="n"/>
      <c r="AF30" s="8" t="n"/>
      <c r="AH30" s="37">
        <f>IF(21*Settings!$C$7&gt;=1440,"",MOD(ROUND((Settings!$C$6+21*Settings!$C$7/1440)*1440,0),1440)/1440)</f>
        <v/>
      </c>
      <c r="AI30" s="8" t="n"/>
      <c r="AJ30" s="8" t="n"/>
      <c r="AK30" s="8" t="n"/>
      <c r="AL30" s="8" t="n"/>
      <c r="AN30" s="37">
        <f>IF(21*Settings!$C$7&gt;=1440,"",MOD(ROUND((Settings!$C$6+21*Settings!$C$7/1440)*1440,0),1440)/1440)</f>
        <v/>
      </c>
      <c r="AO30" s="8" t="n"/>
      <c r="AP30" s="8" t="n"/>
      <c r="AQ30" s="8" t="n"/>
      <c r="AR30" s="8" t="n"/>
      <c r="AT30" s="37">
        <f>IF(21*Settings!$C$7&gt;=1440,"",MOD(ROUND((Settings!$C$6+21*Settings!$C$7/1440)*1440,0),1440)/1440)</f>
        <v/>
      </c>
      <c r="AU30" s="8" t="n"/>
      <c r="AV30" s="8" t="n"/>
      <c r="AW30" s="8" t="n"/>
      <c r="AX30" s="8" t="n"/>
      <c r="BA30" s="6">
        <f>IF(Settings!$C$101="",Settings!$B$101,Settings!$C$101)</f>
        <v/>
      </c>
      <c r="BB30" s="6" t="n"/>
      <c r="BC30" s="6" t="n"/>
      <c r="BD30" s="6" t="n"/>
      <c r="BE30" s="6" t="n"/>
      <c r="BF30" s="6" t="n"/>
      <c r="BG30" s="6" t="n"/>
      <c r="BH30" s="6" t="n"/>
      <c r="BI30" s="39" t="inlineStr">
        <is>
          <t>Avg</t>
        </is>
      </c>
      <c r="BJ30" s="39" t="inlineStr">
        <is>
          <t>Total</t>
        </is>
      </c>
    </row>
    <row r="31">
      <c r="J31" s="37">
        <f>IF(22*Settings!$C$7&gt;=1440,"",MOD(ROUND((Settings!$C$6+22*Settings!$C$7/1440)*1440,0),1440)/1440)</f>
        <v/>
      </c>
      <c r="K31" s="8" t="n"/>
      <c r="L31" s="8" t="n"/>
      <c r="M31" s="8" t="n"/>
      <c r="N31" s="8" t="n"/>
      <c r="P31" s="37">
        <f>IF(22*Settings!$C$7&gt;=1440,"",MOD(ROUND((Settings!$C$6+22*Settings!$C$7/1440)*1440,0),1440)/1440)</f>
        <v/>
      </c>
      <c r="Q31" s="8" t="n"/>
      <c r="R31" s="8" t="n"/>
      <c r="S31" s="8" t="n"/>
      <c r="T31" s="8" t="n"/>
      <c r="V31" s="37">
        <f>IF(22*Settings!$C$7&gt;=1440,"",MOD(ROUND((Settings!$C$6+22*Settings!$C$7/1440)*1440,0),1440)/1440)</f>
        <v/>
      </c>
      <c r="W31" s="8" t="n"/>
      <c r="X31" s="8" t="n"/>
      <c r="Y31" s="8" t="n"/>
      <c r="Z31" s="8" t="n"/>
      <c r="AB31" s="37">
        <f>IF(22*Settings!$C$7&gt;=1440,"",MOD(ROUND((Settings!$C$6+22*Settings!$C$7/1440)*1440,0),1440)/1440)</f>
        <v/>
      </c>
      <c r="AC31" s="8" t="n"/>
      <c r="AD31" s="8" t="n"/>
      <c r="AE31" s="8" t="n"/>
      <c r="AF31" s="8" t="n"/>
      <c r="AH31" s="37">
        <f>IF(22*Settings!$C$7&gt;=1440,"",MOD(ROUND((Settings!$C$6+22*Settings!$C$7/1440)*1440,0),1440)/1440)</f>
        <v/>
      </c>
      <c r="AI31" s="8" t="n"/>
      <c r="AJ31" s="8" t="n"/>
      <c r="AK31" s="8" t="n"/>
      <c r="AL31" s="8" t="n"/>
      <c r="AN31" s="37">
        <f>IF(22*Settings!$C$7&gt;=1440,"",MOD(ROUND((Settings!$C$6+22*Settings!$C$7/1440)*1440,0),1440)/1440)</f>
        <v/>
      </c>
      <c r="AO31" s="8" t="n"/>
      <c r="AP31" s="8" t="n"/>
      <c r="AQ31" s="8" t="n"/>
      <c r="AR31" s="8" t="n"/>
      <c r="AT31" s="37">
        <f>IF(22*Settings!$C$7&gt;=1440,"",MOD(ROUND((Settings!$C$6+22*Settings!$C$7/1440)*1440,0),1440)/1440)</f>
        <v/>
      </c>
      <c r="AU31" s="8" t="n"/>
      <c r="AV31" s="8" t="n"/>
      <c r="AW31" s="8" t="n"/>
      <c r="AX31" s="8" t="n"/>
      <c r="BA31" s="40">
        <f>Settings!$B$61&amp;IF(Settings!$C$61&lt;&gt;""," ("&amp;Settings!$C$61&amp;")","")</f>
        <v/>
      </c>
      <c r="BB31" s="14" t="n"/>
      <c r="BC31" s="14" t="n"/>
      <c r="BD31" s="14" t="n"/>
      <c r="BE31" s="14" t="n"/>
      <c r="BF31" s="14" t="n"/>
      <c r="BG31" s="14" t="n"/>
      <c r="BH31" s="14" t="n"/>
      <c r="BI31" s="41">
        <f>IFERROR(AVERAGE(BB31:BH31),0)</f>
        <v/>
      </c>
      <c r="BJ31" s="41">
        <f>SUM(BB31:BH31)</f>
        <v/>
      </c>
      <c r="BM31">
        <f>IF(BB31="","",IFERROR(MIN(1,MAX(0,(BB31-Settings!$D$61)/(Settings!$E$61-Settings!$D$61))),0))</f>
        <v/>
      </c>
      <c r="BN31">
        <f>IF(BC31="","",IFERROR(MIN(1,MAX(0,(BC31-Settings!$D$61)/(Settings!$E$61-Settings!$D$61))),0))</f>
        <v/>
      </c>
      <c r="BO31">
        <f>IF(BD31="","",IFERROR(MIN(1,MAX(0,(BD31-Settings!$D$61)/(Settings!$E$61-Settings!$D$61))),0))</f>
        <v/>
      </c>
      <c r="BP31">
        <f>IF(BE31="","",IFERROR(MIN(1,MAX(0,(BE31-Settings!$D$61)/(Settings!$E$61-Settings!$D$61))),0))</f>
        <v/>
      </c>
      <c r="BQ31">
        <f>IF(BF31="","",IFERROR(MIN(1,MAX(0,(BF31-Settings!$D$61)/(Settings!$E$61-Settings!$D$61))),0))</f>
        <v/>
      </c>
      <c r="BR31">
        <f>IF(BG31="","",IFERROR(MIN(1,MAX(0,(BG31-Settings!$D$61)/(Settings!$E$61-Settings!$D$61))),0))</f>
        <v/>
      </c>
      <c r="BS31">
        <f>IF(BH31="","",IFERROR(MIN(1,MAX(0,(BH31-Settings!$D$61)/(Settings!$E$61-Settings!$D$61))),0))</f>
        <v/>
      </c>
      <c r="BT31">
        <f>IFERROR(MIN(1,MAX(0,(BI31-Settings!$D$61)/(Settings!$E$61-Settings!$D$61))),0)</f>
        <v/>
      </c>
    </row>
    <row r="32">
      <c r="J32" s="37">
        <f>IF(23*Settings!$C$7&gt;=1440,"",MOD(ROUND((Settings!$C$6+23*Settings!$C$7/1440)*1440,0),1440)/1440)</f>
        <v/>
      </c>
      <c r="K32" s="8" t="n"/>
      <c r="L32" s="8" t="n"/>
      <c r="M32" s="8" t="n"/>
      <c r="N32" s="8" t="n"/>
      <c r="P32" s="37">
        <f>IF(23*Settings!$C$7&gt;=1440,"",MOD(ROUND((Settings!$C$6+23*Settings!$C$7/1440)*1440,0),1440)/1440)</f>
        <v/>
      </c>
      <c r="Q32" s="8" t="n"/>
      <c r="R32" s="8" t="n"/>
      <c r="S32" s="8" t="n"/>
      <c r="T32" s="8" t="n"/>
      <c r="V32" s="37">
        <f>IF(23*Settings!$C$7&gt;=1440,"",MOD(ROUND((Settings!$C$6+23*Settings!$C$7/1440)*1440,0),1440)/1440)</f>
        <v/>
      </c>
      <c r="W32" s="8" t="n"/>
      <c r="X32" s="8" t="n"/>
      <c r="Y32" s="8" t="n"/>
      <c r="Z32" s="8" t="n"/>
      <c r="AB32" s="37">
        <f>IF(23*Settings!$C$7&gt;=1440,"",MOD(ROUND((Settings!$C$6+23*Settings!$C$7/1440)*1440,0),1440)/1440)</f>
        <v/>
      </c>
      <c r="AC32" s="8" t="n"/>
      <c r="AD32" s="8" t="n"/>
      <c r="AE32" s="8" t="n"/>
      <c r="AF32" s="8" t="n"/>
      <c r="AH32" s="37">
        <f>IF(23*Settings!$C$7&gt;=1440,"",MOD(ROUND((Settings!$C$6+23*Settings!$C$7/1440)*1440,0),1440)/1440)</f>
        <v/>
      </c>
      <c r="AI32" s="8" t="n"/>
      <c r="AJ32" s="8" t="n"/>
      <c r="AK32" s="8" t="n"/>
      <c r="AL32" s="8" t="n"/>
      <c r="AN32" s="37">
        <f>IF(23*Settings!$C$7&gt;=1440,"",MOD(ROUND((Settings!$C$6+23*Settings!$C$7/1440)*1440,0),1440)/1440)</f>
        <v/>
      </c>
      <c r="AO32" s="8" t="n"/>
      <c r="AP32" s="8" t="n"/>
      <c r="AQ32" s="8" t="n"/>
      <c r="AR32" s="8" t="n"/>
      <c r="AT32" s="37">
        <f>IF(23*Settings!$C$7&gt;=1440,"",MOD(ROUND((Settings!$C$6+23*Settings!$C$7/1440)*1440,0),1440)/1440)</f>
        <v/>
      </c>
      <c r="AU32" s="8" t="n"/>
      <c r="AV32" s="8" t="n"/>
      <c r="AW32" s="8" t="n"/>
      <c r="AX32" s="8" t="n"/>
      <c r="BA32" s="42" t="inlineStr">
        <is>
          <t>progress</t>
        </is>
      </c>
      <c r="BB32" s="43">
        <f>IF(BM31="","",REPT("█",ROUND(BM31*5,0))&amp;REPT("░",5-ROUND(BM31*5,0)))</f>
        <v/>
      </c>
      <c r="BC32" s="43">
        <f>IF(BN31="","",REPT("█",ROUND(BN31*5,0))&amp;REPT("░",5-ROUND(BN31*5,0)))</f>
        <v/>
      </c>
      <c r="BD32" s="43">
        <f>IF(BO31="","",REPT("█",ROUND(BO31*5,0))&amp;REPT("░",5-ROUND(BO31*5,0)))</f>
        <v/>
      </c>
      <c r="BE32" s="43">
        <f>IF(BP31="","",REPT("█",ROUND(BP31*5,0))&amp;REPT("░",5-ROUND(BP31*5,0)))</f>
        <v/>
      </c>
      <c r="BF32" s="43">
        <f>IF(BQ31="","",REPT("█",ROUND(BQ31*5,0))&amp;REPT("░",5-ROUND(BQ31*5,0)))</f>
        <v/>
      </c>
      <c r="BG32" s="43">
        <f>IF(BR31="","",REPT("█",ROUND(BR31*5,0))&amp;REPT("░",5-ROUND(BR31*5,0)))</f>
        <v/>
      </c>
      <c r="BH32" s="43">
        <f>IF(BS31="","",REPT("█",ROUND(BS31*5,0))&amp;REPT("░",5-ROUND(BS31*5,0)))</f>
        <v/>
      </c>
      <c r="BI32" s="43">
        <f>IF(BT31="","",REPT("█",ROUND(BT31*5,0))&amp;REPT("░",5-ROUND(BT31*5,0)))</f>
        <v/>
      </c>
    </row>
    <row r="33">
      <c r="J33" s="37">
        <f>IF(24*Settings!$C$7&gt;=1440,"",MOD(ROUND((Settings!$C$6+24*Settings!$C$7/1440)*1440,0),1440)/1440)</f>
        <v/>
      </c>
      <c r="K33" s="8" t="n"/>
      <c r="L33" s="8" t="n"/>
      <c r="M33" s="8" t="n"/>
      <c r="N33" s="8" t="n"/>
      <c r="P33" s="37">
        <f>IF(24*Settings!$C$7&gt;=1440,"",MOD(ROUND((Settings!$C$6+24*Settings!$C$7/1440)*1440,0),1440)/1440)</f>
        <v/>
      </c>
      <c r="Q33" s="8" t="n"/>
      <c r="R33" s="8" t="n"/>
      <c r="S33" s="8" t="n"/>
      <c r="T33" s="8" t="n"/>
      <c r="V33" s="37">
        <f>IF(24*Settings!$C$7&gt;=1440,"",MOD(ROUND((Settings!$C$6+24*Settings!$C$7/1440)*1440,0),1440)/1440)</f>
        <v/>
      </c>
      <c r="W33" s="8" t="n"/>
      <c r="X33" s="8" t="n"/>
      <c r="Y33" s="8" t="n"/>
      <c r="Z33" s="8" t="n"/>
      <c r="AB33" s="37">
        <f>IF(24*Settings!$C$7&gt;=1440,"",MOD(ROUND((Settings!$C$6+24*Settings!$C$7/1440)*1440,0),1440)/1440)</f>
        <v/>
      </c>
      <c r="AC33" s="8" t="n"/>
      <c r="AD33" s="8" t="n"/>
      <c r="AE33" s="8" t="n"/>
      <c r="AF33" s="8" t="n"/>
      <c r="AH33" s="37">
        <f>IF(24*Settings!$C$7&gt;=1440,"",MOD(ROUND((Settings!$C$6+24*Settings!$C$7/1440)*1440,0),1440)/1440)</f>
        <v/>
      </c>
      <c r="AI33" s="8" t="n"/>
      <c r="AJ33" s="8" t="n"/>
      <c r="AK33" s="8" t="n"/>
      <c r="AL33" s="8" t="n"/>
      <c r="AN33" s="37">
        <f>IF(24*Settings!$C$7&gt;=1440,"",MOD(ROUND((Settings!$C$6+24*Settings!$C$7/1440)*1440,0),1440)/1440)</f>
        <v/>
      </c>
      <c r="AO33" s="8" t="n"/>
      <c r="AP33" s="8" t="n"/>
      <c r="AQ33" s="8" t="n"/>
      <c r="AR33" s="8" t="n"/>
      <c r="AT33" s="37">
        <f>IF(24*Settings!$C$7&gt;=1440,"",MOD(ROUND((Settings!$C$6+24*Settings!$C$7/1440)*1440,0),1440)/1440)</f>
        <v/>
      </c>
      <c r="AU33" s="8" t="n"/>
      <c r="AV33" s="8" t="n"/>
      <c r="AW33" s="8" t="n"/>
      <c r="AX33" s="8" t="n"/>
      <c r="BA33" s="40">
        <f>Settings!$B$62&amp;IF(Settings!$C$62&lt;&gt;""," ("&amp;Settings!$C$62&amp;")","")</f>
        <v/>
      </c>
      <c r="BB33" s="14" t="n"/>
      <c r="BC33" s="14" t="n"/>
      <c r="BD33" s="14" t="n"/>
      <c r="BE33" s="14" t="n"/>
      <c r="BF33" s="14" t="n"/>
      <c r="BG33" s="14" t="n"/>
      <c r="BH33" s="14" t="n"/>
      <c r="BI33" s="41">
        <f>IFERROR(AVERAGE(BB33:BH33),0)</f>
        <v/>
      </c>
      <c r="BJ33" s="41">
        <f>SUM(BB33:BH33)</f>
        <v/>
      </c>
      <c r="BM33">
        <f>IF(BB33="","",IFERROR(MIN(1,MAX(0,(BB33-Settings!$D$62)/(Settings!$E$62-Settings!$D$62))),0))</f>
        <v/>
      </c>
      <c r="BN33">
        <f>IF(BC33="","",IFERROR(MIN(1,MAX(0,(BC33-Settings!$D$62)/(Settings!$E$62-Settings!$D$62))),0))</f>
        <v/>
      </c>
      <c r="BO33">
        <f>IF(BD33="","",IFERROR(MIN(1,MAX(0,(BD33-Settings!$D$62)/(Settings!$E$62-Settings!$D$62))),0))</f>
        <v/>
      </c>
      <c r="BP33">
        <f>IF(BE33="","",IFERROR(MIN(1,MAX(0,(BE33-Settings!$D$62)/(Settings!$E$62-Settings!$D$62))),0))</f>
        <v/>
      </c>
      <c r="BQ33">
        <f>IF(BF33="","",IFERROR(MIN(1,MAX(0,(BF33-Settings!$D$62)/(Settings!$E$62-Settings!$D$62))),0))</f>
        <v/>
      </c>
      <c r="BR33">
        <f>IF(BG33="","",IFERROR(MIN(1,MAX(0,(BG33-Settings!$D$62)/(Settings!$E$62-Settings!$D$62))),0))</f>
        <v/>
      </c>
      <c r="BS33">
        <f>IF(BH33="","",IFERROR(MIN(1,MAX(0,(BH33-Settings!$D$62)/(Settings!$E$62-Settings!$D$62))),0))</f>
        <v/>
      </c>
      <c r="BT33">
        <f>IFERROR(MIN(1,MAX(0,(BI33-Settings!$D$62)/(Settings!$E$62-Settings!$D$62))),0)</f>
        <v/>
      </c>
    </row>
    <row r="34">
      <c r="J34" s="37">
        <f>IF(25*Settings!$C$7&gt;=1440,"",MOD(ROUND((Settings!$C$6+25*Settings!$C$7/1440)*1440,0),1440)/1440)</f>
        <v/>
      </c>
      <c r="K34" s="8" t="n"/>
      <c r="L34" s="8" t="n"/>
      <c r="M34" s="8" t="n"/>
      <c r="N34" s="8" t="n"/>
      <c r="P34" s="37">
        <f>IF(25*Settings!$C$7&gt;=1440,"",MOD(ROUND((Settings!$C$6+25*Settings!$C$7/1440)*1440,0),1440)/1440)</f>
        <v/>
      </c>
      <c r="Q34" s="8" t="n"/>
      <c r="R34" s="8" t="n"/>
      <c r="S34" s="8" t="n"/>
      <c r="T34" s="8" t="n"/>
      <c r="V34" s="37">
        <f>IF(25*Settings!$C$7&gt;=1440,"",MOD(ROUND((Settings!$C$6+25*Settings!$C$7/1440)*1440,0),1440)/1440)</f>
        <v/>
      </c>
      <c r="W34" s="8" t="n"/>
      <c r="X34" s="8" t="n"/>
      <c r="Y34" s="8" t="n"/>
      <c r="Z34" s="8" t="n"/>
      <c r="AB34" s="37">
        <f>IF(25*Settings!$C$7&gt;=1440,"",MOD(ROUND((Settings!$C$6+25*Settings!$C$7/1440)*1440,0),1440)/1440)</f>
        <v/>
      </c>
      <c r="AC34" s="8" t="n"/>
      <c r="AD34" s="8" t="n"/>
      <c r="AE34" s="8" t="n"/>
      <c r="AF34" s="8" t="n"/>
      <c r="AH34" s="37">
        <f>IF(25*Settings!$C$7&gt;=1440,"",MOD(ROUND((Settings!$C$6+25*Settings!$C$7/1440)*1440,0),1440)/1440)</f>
        <v/>
      </c>
      <c r="AI34" s="8" t="n"/>
      <c r="AJ34" s="8" t="n"/>
      <c r="AK34" s="8" t="n"/>
      <c r="AL34" s="8" t="n"/>
      <c r="AN34" s="37">
        <f>IF(25*Settings!$C$7&gt;=1440,"",MOD(ROUND((Settings!$C$6+25*Settings!$C$7/1440)*1440,0),1440)/1440)</f>
        <v/>
      </c>
      <c r="AO34" s="8" t="n"/>
      <c r="AP34" s="8" t="n"/>
      <c r="AQ34" s="8" t="n"/>
      <c r="AR34" s="8" t="n"/>
      <c r="AT34" s="37">
        <f>IF(25*Settings!$C$7&gt;=1440,"",MOD(ROUND((Settings!$C$6+25*Settings!$C$7/1440)*1440,0),1440)/1440)</f>
        <v/>
      </c>
      <c r="AU34" s="8" t="n"/>
      <c r="AV34" s="8" t="n"/>
      <c r="AW34" s="8" t="n"/>
      <c r="AX34" s="8" t="n"/>
      <c r="BA34" s="42" t="inlineStr">
        <is>
          <t>progress</t>
        </is>
      </c>
      <c r="BB34" s="43">
        <f>IF(BM33="","",REPT("█",ROUND(BM33*5,0))&amp;REPT("░",5-ROUND(BM33*5,0)))</f>
        <v/>
      </c>
      <c r="BC34" s="43">
        <f>IF(BN33="","",REPT("█",ROUND(BN33*5,0))&amp;REPT("░",5-ROUND(BN33*5,0)))</f>
        <v/>
      </c>
      <c r="BD34" s="43">
        <f>IF(BO33="","",REPT("█",ROUND(BO33*5,0))&amp;REPT("░",5-ROUND(BO33*5,0)))</f>
        <v/>
      </c>
      <c r="BE34" s="43">
        <f>IF(BP33="","",REPT("█",ROUND(BP33*5,0))&amp;REPT("░",5-ROUND(BP33*5,0)))</f>
        <v/>
      </c>
      <c r="BF34" s="43">
        <f>IF(BQ33="","",REPT("█",ROUND(BQ33*5,0))&amp;REPT("░",5-ROUND(BQ33*5,0)))</f>
        <v/>
      </c>
      <c r="BG34" s="43">
        <f>IF(BR33="","",REPT("█",ROUND(BR33*5,0))&amp;REPT("░",5-ROUND(BR33*5,0)))</f>
        <v/>
      </c>
      <c r="BH34" s="43">
        <f>IF(BS33="","",REPT("█",ROUND(BS33*5,0))&amp;REPT("░",5-ROUND(BS33*5,0)))</f>
        <v/>
      </c>
      <c r="BI34" s="43">
        <f>IF(BT33="","",REPT("█",ROUND(BT33*5,0))&amp;REPT("░",5-ROUND(BT33*5,0)))</f>
        <v/>
      </c>
    </row>
    <row r="35">
      <c r="J35" s="37">
        <f>IF(26*Settings!$C$7&gt;=1440,"",MOD(ROUND((Settings!$C$6+26*Settings!$C$7/1440)*1440,0),1440)/1440)</f>
        <v/>
      </c>
      <c r="K35" s="8" t="n"/>
      <c r="L35" s="8" t="n"/>
      <c r="M35" s="8" t="n"/>
      <c r="N35" s="8" t="n"/>
      <c r="P35" s="37">
        <f>IF(26*Settings!$C$7&gt;=1440,"",MOD(ROUND((Settings!$C$6+26*Settings!$C$7/1440)*1440,0),1440)/1440)</f>
        <v/>
      </c>
      <c r="Q35" s="8" t="n"/>
      <c r="R35" s="8" t="n"/>
      <c r="S35" s="8" t="n"/>
      <c r="T35" s="8" t="n"/>
      <c r="V35" s="37">
        <f>IF(26*Settings!$C$7&gt;=1440,"",MOD(ROUND((Settings!$C$6+26*Settings!$C$7/1440)*1440,0),1440)/1440)</f>
        <v/>
      </c>
      <c r="W35" s="8" t="n"/>
      <c r="X35" s="8" t="n"/>
      <c r="Y35" s="8" t="n"/>
      <c r="Z35" s="8" t="n"/>
      <c r="AB35" s="37">
        <f>IF(26*Settings!$C$7&gt;=1440,"",MOD(ROUND((Settings!$C$6+26*Settings!$C$7/1440)*1440,0),1440)/1440)</f>
        <v/>
      </c>
      <c r="AC35" s="8" t="n"/>
      <c r="AD35" s="8" t="n"/>
      <c r="AE35" s="8" t="n"/>
      <c r="AF35" s="8" t="n"/>
      <c r="AH35" s="37">
        <f>IF(26*Settings!$C$7&gt;=1440,"",MOD(ROUND((Settings!$C$6+26*Settings!$C$7/1440)*1440,0),1440)/1440)</f>
        <v/>
      </c>
      <c r="AI35" s="8" t="n"/>
      <c r="AJ35" s="8" t="n"/>
      <c r="AK35" s="8" t="n"/>
      <c r="AL35" s="8" t="n"/>
      <c r="AN35" s="37">
        <f>IF(26*Settings!$C$7&gt;=1440,"",MOD(ROUND((Settings!$C$6+26*Settings!$C$7/1440)*1440,0),1440)/1440)</f>
        <v/>
      </c>
      <c r="AO35" s="8" t="n"/>
      <c r="AP35" s="8" t="n"/>
      <c r="AQ35" s="8" t="n"/>
      <c r="AR35" s="8" t="n"/>
      <c r="AT35" s="37">
        <f>IF(26*Settings!$C$7&gt;=1440,"",MOD(ROUND((Settings!$C$6+26*Settings!$C$7/1440)*1440,0),1440)/1440)</f>
        <v/>
      </c>
      <c r="AU35" s="8" t="n"/>
      <c r="AV35" s="8" t="n"/>
      <c r="AW35" s="8" t="n"/>
      <c r="AX35" s="8" t="n"/>
      <c r="BA35" s="40">
        <f>Settings!$B$63&amp;IF(Settings!$C$63&lt;&gt;""," ("&amp;Settings!$C$63&amp;")","")</f>
        <v/>
      </c>
      <c r="BB35" s="14" t="n"/>
      <c r="BC35" s="14" t="n"/>
      <c r="BD35" s="14" t="n"/>
      <c r="BE35" s="14" t="n"/>
      <c r="BF35" s="14" t="n"/>
      <c r="BG35" s="14" t="n"/>
      <c r="BH35" s="14" t="n"/>
      <c r="BI35" s="41">
        <f>IFERROR(AVERAGE(BB35:BH35),0)</f>
        <v/>
      </c>
      <c r="BJ35" s="41">
        <f>SUM(BB35:BH35)</f>
        <v/>
      </c>
      <c r="BM35">
        <f>IF(BB35="","",IFERROR(MIN(1,MAX(0,(BB35-Settings!$D$63)/(Settings!$E$63-Settings!$D$63))),0))</f>
        <v/>
      </c>
      <c r="BN35">
        <f>IF(BC35="","",IFERROR(MIN(1,MAX(0,(BC35-Settings!$D$63)/(Settings!$E$63-Settings!$D$63))),0))</f>
        <v/>
      </c>
      <c r="BO35">
        <f>IF(BD35="","",IFERROR(MIN(1,MAX(0,(BD35-Settings!$D$63)/(Settings!$E$63-Settings!$D$63))),0))</f>
        <v/>
      </c>
      <c r="BP35">
        <f>IF(BE35="","",IFERROR(MIN(1,MAX(0,(BE35-Settings!$D$63)/(Settings!$E$63-Settings!$D$63))),0))</f>
        <v/>
      </c>
      <c r="BQ35">
        <f>IF(BF35="","",IFERROR(MIN(1,MAX(0,(BF35-Settings!$D$63)/(Settings!$E$63-Settings!$D$63))),0))</f>
        <v/>
      </c>
      <c r="BR35">
        <f>IF(BG35="","",IFERROR(MIN(1,MAX(0,(BG35-Settings!$D$63)/(Settings!$E$63-Settings!$D$63))),0))</f>
        <v/>
      </c>
      <c r="BS35">
        <f>IF(BH35="","",IFERROR(MIN(1,MAX(0,(BH35-Settings!$D$63)/(Settings!$E$63-Settings!$D$63))),0))</f>
        <v/>
      </c>
      <c r="BT35">
        <f>IFERROR(MIN(1,MAX(0,(BI35-Settings!$D$63)/(Settings!$E$63-Settings!$D$63))),0)</f>
        <v/>
      </c>
    </row>
    <row r="36">
      <c r="J36" s="37">
        <f>IF(27*Settings!$C$7&gt;=1440,"",MOD(ROUND((Settings!$C$6+27*Settings!$C$7/1440)*1440,0),1440)/1440)</f>
        <v/>
      </c>
      <c r="K36" s="8" t="n"/>
      <c r="L36" s="8" t="n"/>
      <c r="M36" s="8" t="n"/>
      <c r="N36" s="8" t="n"/>
      <c r="P36" s="37">
        <f>IF(27*Settings!$C$7&gt;=1440,"",MOD(ROUND((Settings!$C$6+27*Settings!$C$7/1440)*1440,0),1440)/1440)</f>
        <v/>
      </c>
      <c r="Q36" s="8" t="n"/>
      <c r="R36" s="8" t="n"/>
      <c r="S36" s="8" t="n"/>
      <c r="T36" s="8" t="n"/>
      <c r="V36" s="37">
        <f>IF(27*Settings!$C$7&gt;=1440,"",MOD(ROUND((Settings!$C$6+27*Settings!$C$7/1440)*1440,0),1440)/1440)</f>
        <v/>
      </c>
      <c r="W36" s="8" t="n"/>
      <c r="X36" s="8" t="n"/>
      <c r="Y36" s="8" t="n"/>
      <c r="Z36" s="8" t="n"/>
      <c r="AB36" s="37">
        <f>IF(27*Settings!$C$7&gt;=1440,"",MOD(ROUND((Settings!$C$6+27*Settings!$C$7/1440)*1440,0),1440)/1440)</f>
        <v/>
      </c>
      <c r="AC36" s="8" t="n"/>
      <c r="AD36" s="8" t="n"/>
      <c r="AE36" s="8" t="n"/>
      <c r="AF36" s="8" t="n"/>
      <c r="AH36" s="37">
        <f>IF(27*Settings!$C$7&gt;=1440,"",MOD(ROUND((Settings!$C$6+27*Settings!$C$7/1440)*1440,0),1440)/1440)</f>
        <v/>
      </c>
      <c r="AI36" s="8" t="n"/>
      <c r="AJ36" s="8" t="n"/>
      <c r="AK36" s="8" t="n"/>
      <c r="AL36" s="8" t="n"/>
      <c r="AN36" s="37">
        <f>IF(27*Settings!$C$7&gt;=1440,"",MOD(ROUND((Settings!$C$6+27*Settings!$C$7/1440)*1440,0),1440)/1440)</f>
        <v/>
      </c>
      <c r="AO36" s="8" t="n"/>
      <c r="AP36" s="8" t="n"/>
      <c r="AQ36" s="8" t="n"/>
      <c r="AR36" s="8" t="n"/>
      <c r="AT36" s="37">
        <f>IF(27*Settings!$C$7&gt;=1440,"",MOD(ROUND((Settings!$C$6+27*Settings!$C$7/1440)*1440,0),1440)/1440)</f>
        <v/>
      </c>
      <c r="AU36" s="8" t="n"/>
      <c r="AV36" s="8" t="n"/>
      <c r="AW36" s="8" t="n"/>
      <c r="AX36" s="8" t="n"/>
      <c r="BA36" s="42" t="inlineStr">
        <is>
          <t>progress</t>
        </is>
      </c>
      <c r="BB36" s="43">
        <f>IF(BM35="","",REPT("█",ROUND(BM35*5,0))&amp;REPT("░",5-ROUND(BM35*5,0)))</f>
        <v/>
      </c>
      <c r="BC36" s="43">
        <f>IF(BN35="","",REPT("█",ROUND(BN35*5,0))&amp;REPT("░",5-ROUND(BN35*5,0)))</f>
        <v/>
      </c>
      <c r="BD36" s="43">
        <f>IF(BO35="","",REPT("█",ROUND(BO35*5,0))&amp;REPT("░",5-ROUND(BO35*5,0)))</f>
        <v/>
      </c>
      <c r="BE36" s="43">
        <f>IF(BP35="","",REPT("█",ROUND(BP35*5,0))&amp;REPT("░",5-ROUND(BP35*5,0)))</f>
        <v/>
      </c>
      <c r="BF36" s="43">
        <f>IF(BQ35="","",REPT("█",ROUND(BQ35*5,0))&amp;REPT("░",5-ROUND(BQ35*5,0)))</f>
        <v/>
      </c>
      <c r="BG36" s="43">
        <f>IF(BR35="","",REPT("█",ROUND(BR35*5,0))&amp;REPT("░",5-ROUND(BR35*5,0)))</f>
        <v/>
      </c>
      <c r="BH36" s="43">
        <f>IF(BS35="","",REPT("█",ROUND(BS35*5,0))&amp;REPT("░",5-ROUND(BS35*5,0)))</f>
        <v/>
      </c>
      <c r="BI36" s="43">
        <f>IF(BT35="","",REPT("█",ROUND(BT35*5,0))&amp;REPT("░",5-ROUND(BT35*5,0)))</f>
        <v/>
      </c>
    </row>
    <row r="37">
      <c r="J37" s="37">
        <f>IF(28*Settings!$C$7&gt;=1440,"",MOD(ROUND((Settings!$C$6+28*Settings!$C$7/1440)*1440,0),1440)/1440)</f>
        <v/>
      </c>
      <c r="K37" s="8" t="n"/>
      <c r="L37" s="8" t="n"/>
      <c r="M37" s="8" t="n"/>
      <c r="N37" s="8" t="n"/>
      <c r="P37" s="37">
        <f>IF(28*Settings!$C$7&gt;=1440,"",MOD(ROUND((Settings!$C$6+28*Settings!$C$7/1440)*1440,0),1440)/1440)</f>
        <v/>
      </c>
      <c r="Q37" s="8" t="n"/>
      <c r="R37" s="8" t="n"/>
      <c r="S37" s="8" t="n"/>
      <c r="T37" s="8" t="n"/>
      <c r="V37" s="37">
        <f>IF(28*Settings!$C$7&gt;=1440,"",MOD(ROUND((Settings!$C$6+28*Settings!$C$7/1440)*1440,0),1440)/1440)</f>
        <v/>
      </c>
      <c r="W37" s="8" t="n"/>
      <c r="X37" s="8" t="n"/>
      <c r="Y37" s="8" t="n"/>
      <c r="Z37" s="8" t="n"/>
      <c r="AB37" s="37">
        <f>IF(28*Settings!$C$7&gt;=1440,"",MOD(ROUND((Settings!$C$6+28*Settings!$C$7/1440)*1440,0),1440)/1440)</f>
        <v/>
      </c>
      <c r="AC37" s="8" t="n"/>
      <c r="AD37" s="8" t="n"/>
      <c r="AE37" s="8" t="n"/>
      <c r="AF37" s="8" t="n"/>
      <c r="AH37" s="37">
        <f>IF(28*Settings!$C$7&gt;=1440,"",MOD(ROUND((Settings!$C$6+28*Settings!$C$7/1440)*1440,0),1440)/1440)</f>
        <v/>
      </c>
      <c r="AI37" s="8" t="n"/>
      <c r="AJ37" s="8" t="n"/>
      <c r="AK37" s="8" t="n"/>
      <c r="AL37" s="8" t="n"/>
      <c r="AN37" s="37">
        <f>IF(28*Settings!$C$7&gt;=1440,"",MOD(ROUND((Settings!$C$6+28*Settings!$C$7/1440)*1440,0),1440)/1440)</f>
        <v/>
      </c>
      <c r="AO37" s="8" t="n"/>
      <c r="AP37" s="8" t="n"/>
      <c r="AQ37" s="8" t="n"/>
      <c r="AR37" s="8" t="n"/>
      <c r="AT37" s="37">
        <f>IF(28*Settings!$C$7&gt;=1440,"",MOD(ROUND((Settings!$C$6+28*Settings!$C$7/1440)*1440,0),1440)/1440)</f>
        <v/>
      </c>
      <c r="AU37" s="8" t="n"/>
      <c r="AV37" s="8" t="n"/>
      <c r="AW37" s="8" t="n"/>
      <c r="AX37" s="8" t="n"/>
      <c r="BA37" s="40">
        <f>Settings!$B$64&amp;IF(Settings!$C$64&lt;&gt;""," ("&amp;Settings!$C$64&amp;")","")</f>
        <v/>
      </c>
      <c r="BB37" s="14" t="n"/>
      <c r="BC37" s="14" t="n"/>
      <c r="BD37" s="14" t="n"/>
      <c r="BE37" s="14" t="n"/>
      <c r="BF37" s="14" t="n"/>
      <c r="BG37" s="14" t="n"/>
      <c r="BH37" s="14" t="n"/>
      <c r="BI37" s="41">
        <f>IFERROR(AVERAGE(BB37:BH37),0)</f>
        <v/>
      </c>
      <c r="BJ37" s="41">
        <f>SUM(BB37:BH37)</f>
        <v/>
      </c>
      <c r="BM37">
        <f>IF(BB37="","",IFERROR(MIN(1,MAX(0,(BB37-Settings!$D$64)/(Settings!$E$64-Settings!$D$64))),0))</f>
        <v/>
      </c>
      <c r="BN37">
        <f>IF(BC37="","",IFERROR(MIN(1,MAX(0,(BC37-Settings!$D$64)/(Settings!$E$64-Settings!$D$64))),0))</f>
        <v/>
      </c>
      <c r="BO37">
        <f>IF(BD37="","",IFERROR(MIN(1,MAX(0,(BD37-Settings!$D$64)/(Settings!$E$64-Settings!$D$64))),0))</f>
        <v/>
      </c>
      <c r="BP37">
        <f>IF(BE37="","",IFERROR(MIN(1,MAX(0,(BE37-Settings!$D$64)/(Settings!$E$64-Settings!$D$64))),0))</f>
        <v/>
      </c>
      <c r="BQ37">
        <f>IF(BF37="","",IFERROR(MIN(1,MAX(0,(BF37-Settings!$D$64)/(Settings!$E$64-Settings!$D$64))),0))</f>
        <v/>
      </c>
      <c r="BR37">
        <f>IF(BG37="","",IFERROR(MIN(1,MAX(0,(BG37-Settings!$D$64)/(Settings!$E$64-Settings!$D$64))),0))</f>
        <v/>
      </c>
      <c r="BS37">
        <f>IF(BH37="","",IFERROR(MIN(1,MAX(0,(BH37-Settings!$D$64)/(Settings!$E$64-Settings!$D$64))),0))</f>
        <v/>
      </c>
      <c r="BT37">
        <f>IFERROR(MIN(1,MAX(0,(BI37-Settings!$D$64)/(Settings!$E$64-Settings!$D$64))),0)</f>
        <v/>
      </c>
    </row>
    <row r="38">
      <c r="J38" s="37">
        <f>IF(29*Settings!$C$7&gt;=1440,"",MOD(ROUND((Settings!$C$6+29*Settings!$C$7/1440)*1440,0),1440)/1440)</f>
        <v/>
      </c>
      <c r="K38" s="8" t="n"/>
      <c r="L38" s="8" t="n"/>
      <c r="M38" s="8" t="n"/>
      <c r="N38" s="8" t="n"/>
      <c r="P38" s="37">
        <f>IF(29*Settings!$C$7&gt;=1440,"",MOD(ROUND((Settings!$C$6+29*Settings!$C$7/1440)*1440,0),1440)/1440)</f>
        <v/>
      </c>
      <c r="Q38" s="8" t="n"/>
      <c r="R38" s="8" t="n"/>
      <c r="S38" s="8" t="n"/>
      <c r="T38" s="8" t="n"/>
      <c r="V38" s="37">
        <f>IF(29*Settings!$C$7&gt;=1440,"",MOD(ROUND((Settings!$C$6+29*Settings!$C$7/1440)*1440,0),1440)/1440)</f>
        <v/>
      </c>
      <c r="W38" s="8" t="n"/>
      <c r="X38" s="8" t="n"/>
      <c r="Y38" s="8" t="n"/>
      <c r="Z38" s="8" t="n"/>
      <c r="AB38" s="37">
        <f>IF(29*Settings!$C$7&gt;=1440,"",MOD(ROUND((Settings!$C$6+29*Settings!$C$7/1440)*1440,0),1440)/1440)</f>
        <v/>
      </c>
      <c r="AC38" s="8" t="n"/>
      <c r="AD38" s="8" t="n"/>
      <c r="AE38" s="8" t="n"/>
      <c r="AF38" s="8" t="n"/>
      <c r="AH38" s="37">
        <f>IF(29*Settings!$C$7&gt;=1440,"",MOD(ROUND((Settings!$C$6+29*Settings!$C$7/1440)*1440,0),1440)/1440)</f>
        <v/>
      </c>
      <c r="AI38" s="8" t="n"/>
      <c r="AJ38" s="8" t="n"/>
      <c r="AK38" s="8" t="n"/>
      <c r="AL38" s="8" t="n"/>
      <c r="AN38" s="37">
        <f>IF(29*Settings!$C$7&gt;=1440,"",MOD(ROUND((Settings!$C$6+29*Settings!$C$7/1440)*1440,0),1440)/1440)</f>
        <v/>
      </c>
      <c r="AO38" s="8" t="n"/>
      <c r="AP38" s="8" t="n"/>
      <c r="AQ38" s="8" t="n"/>
      <c r="AR38" s="8" t="n"/>
      <c r="AT38" s="37">
        <f>IF(29*Settings!$C$7&gt;=1440,"",MOD(ROUND((Settings!$C$6+29*Settings!$C$7/1440)*1440,0),1440)/1440)</f>
        <v/>
      </c>
      <c r="AU38" s="8" t="n"/>
      <c r="AV38" s="8" t="n"/>
      <c r="AW38" s="8" t="n"/>
      <c r="AX38" s="8" t="n"/>
      <c r="BA38" s="42" t="inlineStr">
        <is>
          <t>progress</t>
        </is>
      </c>
      <c r="BB38" s="43">
        <f>IF(BM37="","",REPT("█",ROUND(BM37*5,0))&amp;REPT("░",5-ROUND(BM37*5,0)))</f>
        <v/>
      </c>
      <c r="BC38" s="43">
        <f>IF(BN37="","",REPT("█",ROUND(BN37*5,0))&amp;REPT("░",5-ROUND(BN37*5,0)))</f>
        <v/>
      </c>
      <c r="BD38" s="43">
        <f>IF(BO37="","",REPT("█",ROUND(BO37*5,0))&amp;REPT("░",5-ROUND(BO37*5,0)))</f>
        <v/>
      </c>
      <c r="BE38" s="43">
        <f>IF(BP37="","",REPT("█",ROUND(BP37*5,0))&amp;REPT("░",5-ROUND(BP37*5,0)))</f>
        <v/>
      </c>
      <c r="BF38" s="43">
        <f>IF(BQ37="","",REPT("█",ROUND(BQ37*5,0))&amp;REPT("░",5-ROUND(BQ37*5,0)))</f>
        <v/>
      </c>
      <c r="BG38" s="43">
        <f>IF(BR37="","",REPT("█",ROUND(BR37*5,0))&amp;REPT("░",5-ROUND(BR37*5,0)))</f>
        <v/>
      </c>
      <c r="BH38" s="43">
        <f>IF(BS37="","",REPT("█",ROUND(BS37*5,0))&amp;REPT("░",5-ROUND(BS37*5,0)))</f>
        <v/>
      </c>
      <c r="BI38" s="43">
        <f>IF(BT37="","",REPT("█",ROUND(BT37*5,0))&amp;REPT("░",5-ROUND(BT37*5,0)))</f>
        <v/>
      </c>
    </row>
    <row r="39">
      <c r="J39" s="37">
        <f>IF(30*Settings!$C$7&gt;=1440,"",MOD(ROUND((Settings!$C$6+30*Settings!$C$7/1440)*1440,0),1440)/1440)</f>
        <v/>
      </c>
      <c r="K39" s="8" t="n"/>
      <c r="L39" s="8" t="n"/>
      <c r="M39" s="8" t="n"/>
      <c r="N39" s="8" t="n"/>
      <c r="P39" s="37">
        <f>IF(30*Settings!$C$7&gt;=1440,"",MOD(ROUND((Settings!$C$6+30*Settings!$C$7/1440)*1440,0),1440)/1440)</f>
        <v/>
      </c>
      <c r="Q39" s="8" t="n"/>
      <c r="R39" s="8" t="n"/>
      <c r="S39" s="8" t="n"/>
      <c r="T39" s="8" t="n"/>
      <c r="V39" s="37">
        <f>IF(30*Settings!$C$7&gt;=1440,"",MOD(ROUND((Settings!$C$6+30*Settings!$C$7/1440)*1440,0),1440)/1440)</f>
        <v/>
      </c>
      <c r="W39" s="8" t="n"/>
      <c r="X39" s="8" t="n"/>
      <c r="Y39" s="8" t="n"/>
      <c r="Z39" s="8" t="n"/>
      <c r="AB39" s="37">
        <f>IF(30*Settings!$C$7&gt;=1440,"",MOD(ROUND((Settings!$C$6+30*Settings!$C$7/1440)*1440,0),1440)/1440)</f>
        <v/>
      </c>
      <c r="AC39" s="8" t="n"/>
      <c r="AD39" s="8" t="n"/>
      <c r="AE39" s="8" t="n"/>
      <c r="AF39" s="8" t="n"/>
      <c r="AH39" s="37">
        <f>IF(30*Settings!$C$7&gt;=1440,"",MOD(ROUND((Settings!$C$6+30*Settings!$C$7/1440)*1440,0),1440)/1440)</f>
        <v/>
      </c>
      <c r="AI39" s="8" t="n"/>
      <c r="AJ39" s="8" t="n"/>
      <c r="AK39" s="8" t="n"/>
      <c r="AL39" s="8" t="n"/>
      <c r="AN39" s="37">
        <f>IF(30*Settings!$C$7&gt;=1440,"",MOD(ROUND((Settings!$C$6+30*Settings!$C$7/1440)*1440,0),1440)/1440)</f>
        <v/>
      </c>
      <c r="AO39" s="8" t="n"/>
      <c r="AP39" s="8" t="n"/>
      <c r="AQ39" s="8" t="n"/>
      <c r="AR39" s="8" t="n"/>
      <c r="AT39" s="37">
        <f>IF(30*Settings!$C$7&gt;=1440,"",MOD(ROUND((Settings!$C$6+30*Settings!$C$7/1440)*1440,0),1440)/1440)</f>
        <v/>
      </c>
      <c r="AU39" s="8" t="n"/>
      <c r="AV39" s="8" t="n"/>
      <c r="AW39" s="8" t="n"/>
      <c r="AX39" s="8" t="n"/>
      <c r="BA39" s="40">
        <f>Settings!$B$65&amp;IF(Settings!$C$65&lt;&gt;""," ("&amp;Settings!$C$65&amp;")","")</f>
        <v/>
      </c>
      <c r="BB39" s="14" t="n"/>
      <c r="BC39" s="14" t="n"/>
      <c r="BD39" s="14" t="n"/>
      <c r="BE39" s="14" t="n"/>
      <c r="BF39" s="14" t="n"/>
      <c r="BG39" s="14" t="n"/>
      <c r="BH39" s="14" t="n"/>
      <c r="BI39" s="41">
        <f>IFERROR(AVERAGE(BB39:BH39),0)</f>
        <v/>
      </c>
      <c r="BJ39" s="41">
        <f>SUM(BB39:BH39)</f>
        <v/>
      </c>
      <c r="BM39">
        <f>IF(BB39="","",IFERROR(MIN(1,MAX(0,(BB39-Settings!$D$65)/(Settings!$E$65-Settings!$D$65))),0))</f>
        <v/>
      </c>
      <c r="BN39">
        <f>IF(BC39="","",IFERROR(MIN(1,MAX(0,(BC39-Settings!$D$65)/(Settings!$E$65-Settings!$D$65))),0))</f>
        <v/>
      </c>
      <c r="BO39">
        <f>IF(BD39="","",IFERROR(MIN(1,MAX(0,(BD39-Settings!$D$65)/(Settings!$E$65-Settings!$D$65))),0))</f>
        <v/>
      </c>
      <c r="BP39">
        <f>IF(BE39="","",IFERROR(MIN(1,MAX(0,(BE39-Settings!$D$65)/(Settings!$E$65-Settings!$D$65))),0))</f>
        <v/>
      </c>
      <c r="BQ39">
        <f>IF(BF39="","",IFERROR(MIN(1,MAX(0,(BF39-Settings!$D$65)/(Settings!$E$65-Settings!$D$65))),0))</f>
        <v/>
      </c>
      <c r="BR39">
        <f>IF(BG39="","",IFERROR(MIN(1,MAX(0,(BG39-Settings!$D$65)/(Settings!$E$65-Settings!$D$65))),0))</f>
        <v/>
      </c>
      <c r="BS39">
        <f>IF(BH39="","",IFERROR(MIN(1,MAX(0,(BH39-Settings!$D$65)/(Settings!$E$65-Settings!$D$65))),0))</f>
        <v/>
      </c>
      <c r="BT39">
        <f>IFERROR(MIN(1,MAX(0,(BI39-Settings!$D$65)/(Settings!$E$65-Settings!$D$65))),0)</f>
        <v/>
      </c>
    </row>
    <row r="40">
      <c r="J40" s="37">
        <f>IF(31*Settings!$C$7&gt;=1440,"",MOD(ROUND((Settings!$C$6+31*Settings!$C$7/1440)*1440,0),1440)/1440)</f>
        <v/>
      </c>
      <c r="K40" s="8" t="n"/>
      <c r="L40" s="8" t="n"/>
      <c r="M40" s="8" t="n"/>
      <c r="N40" s="8" t="n"/>
      <c r="P40" s="37">
        <f>IF(31*Settings!$C$7&gt;=1440,"",MOD(ROUND((Settings!$C$6+31*Settings!$C$7/1440)*1440,0),1440)/1440)</f>
        <v/>
      </c>
      <c r="Q40" s="8" t="n"/>
      <c r="R40" s="8" t="n"/>
      <c r="S40" s="8" t="n"/>
      <c r="T40" s="8" t="n"/>
      <c r="V40" s="37">
        <f>IF(31*Settings!$C$7&gt;=1440,"",MOD(ROUND((Settings!$C$6+31*Settings!$C$7/1440)*1440,0),1440)/1440)</f>
        <v/>
      </c>
      <c r="W40" s="8" t="n"/>
      <c r="X40" s="8" t="n"/>
      <c r="Y40" s="8" t="n"/>
      <c r="Z40" s="8" t="n"/>
      <c r="AB40" s="37">
        <f>IF(31*Settings!$C$7&gt;=1440,"",MOD(ROUND((Settings!$C$6+31*Settings!$C$7/1440)*1440,0),1440)/1440)</f>
        <v/>
      </c>
      <c r="AC40" s="8" t="n"/>
      <c r="AD40" s="8" t="n"/>
      <c r="AE40" s="8" t="n"/>
      <c r="AF40" s="8" t="n"/>
      <c r="AH40" s="37">
        <f>IF(31*Settings!$C$7&gt;=1440,"",MOD(ROUND((Settings!$C$6+31*Settings!$C$7/1440)*1440,0),1440)/1440)</f>
        <v/>
      </c>
      <c r="AI40" s="8" t="n"/>
      <c r="AJ40" s="8" t="n"/>
      <c r="AK40" s="8" t="n"/>
      <c r="AL40" s="8" t="n"/>
      <c r="AN40" s="37">
        <f>IF(31*Settings!$C$7&gt;=1440,"",MOD(ROUND((Settings!$C$6+31*Settings!$C$7/1440)*1440,0),1440)/1440)</f>
        <v/>
      </c>
      <c r="AO40" s="8" t="n"/>
      <c r="AP40" s="8" t="n"/>
      <c r="AQ40" s="8" t="n"/>
      <c r="AR40" s="8" t="n"/>
      <c r="AT40" s="37">
        <f>IF(31*Settings!$C$7&gt;=1440,"",MOD(ROUND((Settings!$C$6+31*Settings!$C$7/1440)*1440,0),1440)/1440)</f>
        <v/>
      </c>
      <c r="AU40" s="8" t="n"/>
      <c r="AV40" s="8" t="n"/>
      <c r="AW40" s="8" t="n"/>
      <c r="AX40" s="8" t="n"/>
      <c r="BA40" s="42" t="inlineStr">
        <is>
          <t>progress</t>
        </is>
      </c>
      <c r="BB40" s="43">
        <f>IF(BM39="","",REPT("█",ROUND(BM39*5,0))&amp;REPT("░",5-ROUND(BM39*5,0)))</f>
        <v/>
      </c>
      <c r="BC40" s="43">
        <f>IF(BN39="","",REPT("█",ROUND(BN39*5,0))&amp;REPT("░",5-ROUND(BN39*5,0)))</f>
        <v/>
      </c>
      <c r="BD40" s="43">
        <f>IF(BO39="","",REPT("█",ROUND(BO39*5,0))&amp;REPT("░",5-ROUND(BO39*5,0)))</f>
        <v/>
      </c>
      <c r="BE40" s="43">
        <f>IF(BP39="","",REPT("█",ROUND(BP39*5,0))&amp;REPT("░",5-ROUND(BP39*5,0)))</f>
        <v/>
      </c>
      <c r="BF40" s="43">
        <f>IF(BQ39="","",REPT("█",ROUND(BQ39*5,0))&amp;REPT("░",5-ROUND(BQ39*5,0)))</f>
        <v/>
      </c>
      <c r="BG40" s="43">
        <f>IF(BR39="","",REPT("█",ROUND(BR39*5,0))&amp;REPT("░",5-ROUND(BR39*5,0)))</f>
        <v/>
      </c>
      <c r="BH40" s="43">
        <f>IF(BS39="","",REPT("█",ROUND(BS39*5,0))&amp;REPT("░",5-ROUND(BS39*5,0)))</f>
        <v/>
      </c>
      <c r="BI40" s="43">
        <f>IF(BT39="","",REPT("█",ROUND(BT39*5,0))&amp;REPT("░",5-ROUND(BT39*5,0)))</f>
        <v/>
      </c>
    </row>
    <row r="41">
      <c r="J41" s="37">
        <f>IF(32*Settings!$C$7&gt;=1440,"",MOD(ROUND((Settings!$C$6+32*Settings!$C$7/1440)*1440,0),1440)/1440)</f>
        <v/>
      </c>
      <c r="K41" s="8" t="n"/>
      <c r="L41" s="8" t="n"/>
      <c r="M41" s="8" t="n"/>
      <c r="N41" s="8" t="n"/>
      <c r="P41" s="37">
        <f>IF(32*Settings!$C$7&gt;=1440,"",MOD(ROUND((Settings!$C$6+32*Settings!$C$7/1440)*1440,0),1440)/1440)</f>
        <v/>
      </c>
      <c r="Q41" s="8" t="n"/>
      <c r="R41" s="8" t="n"/>
      <c r="S41" s="8" t="n"/>
      <c r="T41" s="8" t="n"/>
      <c r="V41" s="37">
        <f>IF(32*Settings!$C$7&gt;=1440,"",MOD(ROUND((Settings!$C$6+32*Settings!$C$7/1440)*1440,0),1440)/1440)</f>
        <v/>
      </c>
      <c r="W41" s="8" t="n"/>
      <c r="X41" s="8" t="n"/>
      <c r="Y41" s="8" t="n"/>
      <c r="Z41" s="8" t="n"/>
      <c r="AB41" s="37">
        <f>IF(32*Settings!$C$7&gt;=1440,"",MOD(ROUND((Settings!$C$6+32*Settings!$C$7/1440)*1440,0),1440)/1440)</f>
        <v/>
      </c>
      <c r="AC41" s="8" t="n"/>
      <c r="AD41" s="8" t="n"/>
      <c r="AE41" s="8" t="n"/>
      <c r="AF41" s="8" t="n"/>
      <c r="AH41" s="37">
        <f>IF(32*Settings!$C$7&gt;=1440,"",MOD(ROUND((Settings!$C$6+32*Settings!$C$7/1440)*1440,0),1440)/1440)</f>
        <v/>
      </c>
      <c r="AI41" s="8" t="n"/>
      <c r="AJ41" s="8" t="n"/>
      <c r="AK41" s="8" t="n"/>
      <c r="AL41" s="8" t="n"/>
      <c r="AN41" s="37">
        <f>IF(32*Settings!$C$7&gt;=1440,"",MOD(ROUND((Settings!$C$6+32*Settings!$C$7/1440)*1440,0),1440)/1440)</f>
        <v/>
      </c>
      <c r="AO41" s="8" t="n"/>
      <c r="AP41" s="8" t="n"/>
      <c r="AQ41" s="8" t="n"/>
      <c r="AR41" s="8" t="n"/>
      <c r="AT41" s="37">
        <f>IF(32*Settings!$C$7&gt;=1440,"",MOD(ROUND((Settings!$C$6+32*Settings!$C$7/1440)*1440,0),1440)/1440)</f>
        <v/>
      </c>
      <c r="AU41" s="8" t="n"/>
      <c r="AV41" s="8" t="n"/>
      <c r="AW41" s="8" t="n"/>
      <c r="AX41" s="8" t="n"/>
    </row>
    <row r="42">
      <c r="J42" s="37">
        <f>IF(33*Settings!$C$7&gt;=1440,"",MOD(ROUND((Settings!$C$6+33*Settings!$C$7/1440)*1440,0),1440)/1440)</f>
        <v/>
      </c>
      <c r="K42" s="8" t="n"/>
      <c r="L42" s="8" t="n"/>
      <c r="M42" s="8" t="n"/>
      <c r="N42" s="8" t="n"/>
      <c r="P42" s="37">
        <f>IF(33*Settings!$C$7&gt;=1440,"",MOD(ROUND((Settings!$C$6+33*Settings!$C$7/1440)*1440,0),1440)/1440)</f>
        <v/>
      </c>
      <c r="Q42" s="8" t="n"/>
      <c r="R42" s="8" t="n"/>
      <c r="S42" s="8" t="n"/>
      <c r="T42" s="8" t="n"/>
      <c r="V42" s="37">
        <f>IF(33*Settings!$C$7&gt;=1440,"",MOD(ROUND((Settings!$C$6+33*Settings!$C$7/1440)*1440,0),1440)/1440)</f>
        <v/>
      </c>
      <c r="W42" s="8" t="n"/>
      <c r="X42" s="8" t="n"/>
      <c r="Y42" s="8" t="n"/>
      <c r="Z42" s="8" t="n"/>
      <c r="AB42" s="37">
        <f>IF(33*Settings!$C$7&gt;=1440,"",MOD(ROUND((Settings!$C$6+33*Settings!$C$7/1440)*1440,0),1440)/1440)</f>
        <v/>
      </c>
      <c r="AC42" s="8" t="n"/>
      <c r="AD42" s="8" t="n"/>
      <c r="AE42" s="8" t="n"/>
      <c r="AF42" s="8" t="n"/>
      <c r="AH42" s="37">
        <f>IF(33*Settings!$C$7&gt;=1440,"",MOD(ROUND((Settings!$C$6+33*Settings!$C$7/1440)*1440,0),1440)/1440)</f>
        <v/>
      </c>
      <c r="AI42" s="8" t="n"/>
      <c r="AJ42" s="8" t="n"/>
      <c r="AK42" s="8" t="n"/>
      <c r="AL42" s="8" t="n"/>
      <c r="AN42" s="37">
        <f>IF(33*Settings!$C$7&gt;=1440,"",MOD(ROUND((Settings!$C$6+33*Settings!$C$7/1440)*1440,0),1440)/1440)</f>
        <v/>
      </c>
      <c r="AO42" s="8" t="n"/>
      <c r="AP42" s="8" t="n"/>
      <c r="AQ42" s="8" t="n"/>
      <c r="AR42" s="8" t="n"/>
      <c r="AT42" s="37">
        <f>IF(33*Settings!$C$7&gt;=1440,"",MOD(ROUND((Settings!$C$6+33*Settings!$C$7/1440)*1440,0),1440)/1440)</f>
        <v/>
      </c>
      <c r="AU42" s="8" t="n"/>
      <c r="AV42" s="8" t="n"/>
      <c r="AW42" s="8" t="n"/>
      <c r="AX42" s="8" t="n"/>
    </row>
    <row r="43">
      <c r="J43" s="37">
        <f>IF(34*Settings!$C$7&gt;=1440,"",MOD(ROUND((Settings!$C$6+34*Settings!$C$7/1440)*1440,0),1440)/1440)</f>
        <v/>
      </c>
      <c r="K43" s="8" t="n"/>
      <c r="L43" s="8" t="n"/>
      <c r="M43" s="8" t="n"/>
      <c r="N43" s="8" t="n"/>
      <c r="P43" s="37">
        <f>IF(34*Settings!$C$7&gt;=1440,"",MOD(ROUND((Settings!$C$6+34*Settings!$C$7/1440)*1440,0),1440)/1440)</f>
        <v/>
      </c>
      <c r="Q43" s="8" t="n"/>
      <c r="R43" s="8" t="n"/>
      <c r="S43" s="8" t="n"/>
      <c r="T43" s="8" t="n"/>
      <c r="V43" s="37">
        <f>IF(34*Settings!$C$7&gt;=1440,"",MOD(ROUND((Settings!$C$6+34*Settings!$C$7/1440)*1440,0),1440)/1440)</f>
        <v/>
      </c>
      <c r="W43" s="8" t="n"/>
      <c r="X43" s="8" t="n"/>
      <c r="Y43" s="8" t="n"/>
      <c r="Z43" s="8" t="n"/>
      <c r="AB43" s="37">
        <f>IF(34*Settings!$C$7&gt;=1440,"",MOD(ROUND((Settings!$C$6+34*Settings!$C$7/1440)*1440,0),1440)/1440)</f>
        <v/>
      </c>
      <c r="AC43" s="8" t="n"/>
      <c r="AD43" s="8" t="n"/>
      <c r="AE43" s="8" t="n"/>
      <c r="AF43" s="8" t="n"/>
      <c r="AH43" s="37">
        <f>IF(34*Settings!$C$7&gt;=1440,"",MOD(ROUND((Settings!$C$6+34*Settings!$C$7/1440)*1440,0),1440)/1440)</f>
        <v/>
      </c>
      <c r="AI43" s="8" t="n"/>
      <c r="AJ43" s="8" t="n"/>
      <c r="AK43" s="8" t="n"/>
      <c r="AL43" s="8" t="n"/>
      <c r="AN43" s="37">
        <f>IF(34*Settings!$C$7&gt;=1440,"",MOD(ROUND((Settings!$C$6+34*Settings!$C$7/1440)*1440,0),1440)/1440)</f>
        <v/>
      </c>
      <c r="AO43" s="8" t="n"/>
      <c r="AP43" s="8" t="n"/>
      <c r="AQ43" s="8" t="n"/>
      <c r="AR43" s="8" t="n"/>
      <c r="AT43" s="37">
        <f>IF(34*Settings!$C$7&gt;=1440,"",MOD(ROUND((Settings!$C$6+34*Settings!$C$7/1440)*1440,0),1440)/1440)</f>
        <v/>
      </c>
      <c r="AU43" s="8" t="n"/>
      <c r="AV43" s="8" t="n"/>
      <c r="AW43" s="8" t="n"/>
      <c r="AX43" s="8" t="n"/>
    </row>
    <row r="44">
      <c r="J44" s="37">
        <f>IF(35*Settings!$C$7&gt;=1440,"",MOD(ROUND((Settings!$C$6+35*Settings!$C$7/1440)*1440,0),1440)/1440)</f>
        <v/>
      </c>
      <c r="K44" s="8" t="n"/>
      <c r="L44" s="8" t="n"/>
      <c r="M44" s="8" t="n"/>
      <c r="N44" s="8" t="n"/>
      <c r="P44" s="37">
        <f>IF(35*Settings!$C$7&gt;=1440,"",MOD(ROUND((Settings!$C$6+35*Settings!$C$7/1440)*1440,0),1440)/1440)</f>
        <v/>
      </c>
      <c r="Q44" s="8" t="n"/>
      <c r="R44" s="8" t="n"/>
      <c r="S44" s="8" t="n"/>
      <c r="T44" s="8" t="n"/>
      <c r="V44" s="37">
        <f>IF(35*Settings!$C$7&gt;=1440,"",MOD(ROUND((Settings!$C$6+35*Settings!$C$7/1440)*1440,0),1440)/1440)</f>
        <v/>
      </c>
      <c r="W44" s="8" t="n"/>
      <c r="X44" s="8" t="n"/>
      <c r="Y44" s="8" t="n"/>
      <c r="Z44" s="8" t="n"/>
      <c r="AB44" s="37">
        <f>IF(35*Settings!$C$7&gt;=1440,"",MOD(ROUND((Settings!$C$6+35*Settings!$C$7/1440)*1440,0),1440)/1440)</f>
        <v/>
      </c>
      <c r="AC44" s="8" t="n"/>
      <c r="AD44" s="8" t="n"/>
      <c r="AE44" s="8" t="n"/>
      <c r="AF44" s="8" t="n"/>
      <c r="AH44" s="37">
        <f>IF(35*Settings!$C$7&gt;=1440,"",MOD(ROUND((Settings!$C$6+35*Settings!$C$7/1440)*1440,0),1440)/1440)</f>
        <v/>
      </c>
      <c r="AI44" s="8" t="n"/>
      <c r="AJ44" s="8" t="n"/>
      <c r="AK44" s="8" t="n"/>
      <c r="AL44" s="8" t="n"/>
      <c r="AN44" s="37">
        <f>IF(35*Settings!$C$7&gt;=1440,"",MOD(ROUND((Settings!$C$6+35*Settings!$C$7/1440)*1440,0),1440)/1440)</f>
        <v/>
      </c>
      <c r="AO44" s="8" t="n"/>
      <c r="AP44" s="8" t="n"/>
      <c r="AQ44" s="8" t="n"/>
      <c r="AR44" s="8" t="n"/>
      <c r="AT44" s="37">
        <f>IF(35*Settings!$C$7&gt;=1440,"",MOD(ROUND((Settings!$C$6+35*Settings!$C$7/1440)*1440,0),1440)/1440)</f>
        <v/>
      </c>
      <c r="AU44" s="8" t="n"/>
      <c r="AV44" s="8" t="n"/>
      <c r="AW44" s="8" t="n"/>
      <c r="AX44" s="8" t="n"/>
    </row>
    <row r="46">
      <c r="J46" s="6">
        <f>IF(Settings!$C$95="",Settings!$B$95,Settings!$C$95)</f>
        <v/>
      </c>
      <c r="K46" s="6" t="n"/>
      <c r="L46" s="6" t="n"/>
      <c r="M46" s="6" t="n"/>
      <c r="N46" s="6" t="n"/>
      <c r="P46" s="6">
        <f>IF(Settings!$C$95="",Settings!$B$95,Settings!$C$95)</f>
        <v/>
      </c>
      <c r="Q46" s="6" t="n"/>
      <c r="R46" s="6" t="n"/>
      <c r="S46" s="6" t="n"/>
      <c r="T46" s="6" t="n"/>
      <c r="V46" s="6">
        <f>IF(Settings!$C$95="",Settings!$B$95,Settings!$C$95)</f>
        <v/>
      </c>
      <c r="W46" s="6" t="n"/>
      <c r="X46" s="6" t="n"/>
      <c r="Y46" s="6" t="n"/>
      <c r="Z46" s="6" t="n"/>
      <c r="AB46" s="6">
        <f>IF(Settings!$C$95="",Settings!$B$95,Settings!$C$95)</f>
        <v/>
      </c>
      <c r="AC46" s="6" t="n"/>
      <c r="AD46" s="6" t="n"/>
      <c r="AE46" s="6" t="n"/>
      <c r="AF46" s="6" t="n"/>
      <c r="AH46" s="6">
        <f>IF(Settings!$C$95="",Settings!$B$95,Settings!$C$95)</f>
        <v/>
      </c>
      <c r="AI46" s="6" t="n"/>
      <c r="AJ46" s="6" t="n"/>
      <c r="AK46" s="6" t="n"/>
      <c r="AL46" s="6" t="n"/>
      <c r="AN46" s="6">
        <f>IF(Settings!$C$95="",Settings!$B$95,Settings!$C$95)</f>
        <v/>
      </c>
      <c r="AO46" s="6" t="n"/>
      <c r="AP46" s="6" t="n"/>
      <c r="AQ46" s="6" t="n"/>
      <c r="AR46" s="6" t="n"/>
      <c r="AT46" s="6">
        <f>IF(Settings!$C$95="",Settings!$B$95,Settings!$C$95)</f>
        <v/>
      </c>
      <c r="AU46" s="6" t="n"/>
      <c r="AV46" s="6" t="n"/>
      <c r="AW46" s="6" t="n"/>
      <c r="AX46" s="6" t="n"/>
    </row>
    <row r="47">
      <c r="J47" s="14" t="b">
        <v>0</v>
      </c>
      <c r="K47" s="8" t="n"/>
      <c r="L47" s="8" t="n"/>
      <c r="M47" s="8" t="n"/>
      <c r="N47" s="8" t="n"/>
      <c r="P47" s="14" t="b">
        <v>0</v>
      </c>
      <c r="Q47" s="8" t="n"/>
      <c r="R47" s="8" t="n"/>
      <c r="S47" s="8" t="n"/>
      <c r="T47" s="8" t="n"/>
      <c r="V47" s="14" t="b">
        <v>0</v>
      </c>
      <c r="W47" s="8" t="n"/>
      <c r="X47" s="8" t="n"/>
      <c r="Y47" s="8" t="n"/>
      <c r="Z47" s="8" t="n"/>
      <c r="AB47" s="14" t="b">
        <v>0</v>
      </c>
      <c r="AC47" s="8" t="n"/>
      <c r="AD47" s="8" t="n"/>
      <c r="AE47" s="8" t="n"/>
      <c r="AF47" s="8" t="n"/>
      <c r="AH47" s="14" t="b">
        <v>0</v>
      </c>
      <c r="AI47" s="8" t="n"/>
      <c r="AJ47" s="8" t="n"/>
      <c r="AK47" s="8" t="n"/>
      <c r="AL47" s="8" t="n"/>
      <c r="AN47" s="14" t="b">
        <v>0</v>
      </c>
      <c r="AO47" s="8" t="n"/>
      <c r="AP47" s="8" t="n"/>
      <c r="AQ47" s="8" t="n"/>
      <c r="AR47" s="8" t="n"/>
      <c r="AT47" s="14" t="b">
        <v>0</v>
      </c>
      <c r="AU47" s="8" t="n"/>
      <c r="AV47" s="8" t="n"/>
      <c r="AW47" s="8" t="n"/>
      <c r="AX47" s="8" t="n"/>
    </row>
    <row r="48">
      <c r="J48" s="14" t="b">
        <v>0</v>
      </c>
      <c r="K48" s="8" t="n"/>
      <c r="L48" s="8" t="n"/>
      <c r="M48" s="8" t="n"/>
      <c r="N48" s="8" t="n"/>
      <c r="P48" s="14" t="b">
        <v>0</v>
      </c>
      <c r="Q48" s="8" t="n"/>
      <c r="R48" s="8" t="n"/>
      <c r="S48" s="8" t="n"/>
      <c r="T48" s="8" t="n"/>
      <c r="V48" s="14" t="b">
        <v>0</v>
      </c>
      <c r="W48" s="8" t="n"/>
      <c r="X48" s="8" t="n"/>
      <c r="Y48" s="8" t="n"/>
      <c r="Z48" s="8" t="n"/>
      <c r="AB48" s="14" t="b">
        <v>0</v>
      </c>
      <c r="AC48" s="8" t="n"/>
      <c r="AD48" s="8" t="n"/>
      <c r="AE48" s="8" t="n"/>
      <c r="AF48" s="8" t="n"/>
      <c r="AH48" s="14" t="b">
        <v>0</v>
      </c>
      <c r="AI48" s="8" t="n"/>
      <c r="AJ48" s="8" t="n"/>
      <c r="AK48" s="8" t="n"/>
      <c r="AL48" s="8" t="n"/>
      <c r="AN48" s="14" t="b">
        <v>0</v>
      </c>
      <c r="AO48" s="8" t="n"/>
      <c r="AP48" s="8" t="n"/>
      <c r="AQ48" s="8" t="n"/>
      <c r="AR48" s="8" t="n"/>
      <c r="AT48" s="14" t="b">
        <v>0</v>
      </c>
      <c r="AU48" s="8" t="n"/>
      <c r="AV48" s="8" t="n"/>
      <c r="AW48" s="8" t="n"/>
      <c r="AX48" s="8" t="n"/>
    </row>
    <row r="49">
      <c r="J49" s="14" t="b">
        <v>0</v>
      </c>
      <c r="K49" s="8" t="n"/>
      <c r="L49" s="8" t="n"/>
      <c r="M49" s="8" t="n"/>
      <c r="N49" s="8" t="n"/>
      <c r="P49" s="14" t="b">
        <v>0</v>
      </c>
      <c r="Q49" s="8" t="n"/>
      <c r="R49" s="8" t="n"/>
      <c r="S49" s="8" t="n"/>
      <c r="T49" s="8" t="n"/>
      <c r="V49" s="14" t="b">
        <v>0</v>
      </c>
      <c r="W49" s="8" t="n"/>
      <c r="X49" s="8" t="n"/>
      <c r="Y49" s="8" t="n"/>
      <c r="Z49" s="8" t="n"/>
      <c r="AB49" s="14" t="b">
        <v>0</v>
      </c>
      <c r="AC49" s="8" t="n"/>
      <c r="AD49" s="8" t="n"/>
      <c r="AE49" s="8" t="n"/>
      <c r="AF49" s="8" t="n"/>
      <c r="AH49" s="14" t="b">
        <v>0</v>
      </c>
      <c r="AI49" s="8" t="n"/>
      <c r="AJ49" s="8" t="n"/>
      <c r="AK49" s="8" t="n"/>
      <c r="AL49" s="8" t="n"/>
      <c r="AN49" s="14" t="b">
        <v>0</v>
      </c>
      <c r="AO49" s="8" t="n"/>
      <c r="AP49" s="8" t="n"/>
      <c r="AQ49" s="8" t="n"/>
      <c r="AR49" s="8" t="n"/>
      <c r="AT49" s="14" t="b">
        <v>0</v>
      </c>
      <c r="AU49" s="8" t="n"/>
      <c r="AV49" s="8" t="n"/>
      <c r="AW49" s="8" t="n"/>
      <c r="AX49" s="8" t="n"/>
    </row>
    <row r="50">
      <c r="J50" s="14" t="b">
        <v>0</v>
      </c>
      <c r="K50" s="8" t="n"/>
      <c r="L50" s="8" t="n"/>
      <c r="M50" s="8" t="n"/>
      <c r="N50" s="8" t="n"/>
      <c r="P50" s="14" t="b">
        <v>0</v>
      </c>
      <c r="Q50" s="8" t="n"/>
      <c r="R50" s="8" t="n"/>
      <c r="S50" s="8" t="n"/>
      <c r="T50" s="8" t="n"/>
      <c r="V50" s="14" t="b">
        <v>0</v>
      </c>
      <c r="W50" s="8" t="n"/>
      <c r="X50" s="8" t="n"/>
      <c r="Y50" s="8" t="n"/>
      <c r="Z50" s="8" t="n"/>
      <c r="AB50" s="14" t="b">
        <v>0</v>
      </c>
      <c r="AC50" s="8" t="n"/>
      <c r="AD50" s="8" t="n"/>
      <c r="AE50" s="8" t="n"/>
      <c r="AF50" s="8" t="n"/>
      <c r="AH50" s="14" t="b">
        <v>0</v>
      </c>
      <c r="AI50" s="8" t="n"/>
      <c r="AJ50" s="8" t="n"/>
      <c r="AK50" s="8" t="n"/>
      <c r="AL50" s="8" t="n"/>
      <c r="AN50" s="14" t="b">
        <v>0</v>
      </c>
      <c r="AO50" s="8" t="n"/>
      <c r="AP50" s="8" t="n"/>
      <c r="AQ50" s="8" t="n"/>
      <c r="AR50" s="8" t="n"/>
      <c r="AT50" s="14" t="b">
        <v>0</v>
      </c>
      <c r="AU50" s="8" t="n"/>
      <c r="AV50" s="8" t="n"/>
      <c r="AW50" s="8" t="n"/>
      <c r="AX50" s="8" t="n"/>
    </row>
    <row r="51">
      <c r="J51" s="14" t="b">
        <v>0</v>
      </c>
      <c r="K51" s="8" t="n"/>
      <c r="L51" s="8" t="n"/>
      <c r="M51" s="8" t="n"/>
      <c r="N51" s="8" t="n"/>
      <c r="P51" s="14" t="b">
        <v>0</v>
      </c>
      <c r="Q51" s="8" t="n"/>
      <c r="R51" s="8" t="n"/>
      <c r="S51" s="8" t="n"/>
      <c r="T51" s="8" t="n"/>
      <c r="V51" s="14" t="b">
        <v>0</v>
      </c>
      <c r="W51" s="8" t="n"/>
      <c r="X51" s="8" t="n"/>
      <c r="Y51" s="8" t="n"/>
      <c r="Z51" s="8" t="n"/>
      <c r="AB51" s="14" t="b">
        <v>0</v>
      </c>
      <c r="AC51" s="8" t="n"/>
      <c r="AD51" s="8" t="n"/>
      <c r="AE51" s="8" t="n"/>
      <c r="AF51" s="8" t="n"/>
      <c r="AH51" s="14" t="b">
        <v>0</v>
      </c>
      <c r="AI51" s="8" t="n"/>
      <c r="AJ51" s="8" t="n"/>
      <c r="AK51" s="8" t="n"/>
      <c r="AL51" s="8" t="n"/>
      <c r="AN51" s="14" t="b">
        <v>0</v>
      </c>
      <c r="AO51" s="8" t="n"/>
      <c r="AP51" s="8" t="n"/>
      <c r="AQ51" s="8" t="n"/>
      <c r="AR51" s="8" t="n"/>
      <c r="AT51" s="14" t="b">
        <v>0</v>
      </c>
      <c r="AU51" s="8" t="n"/>
      <c r="AV51" s="8" t="n"/>
      <c r="AW51" s="8" t="n"/>
      <c r="AX51" s="8" t="n"/>
    </row>
    <row r="52">
      <c r="J52" s="14" t="b">
        <v>0</v>
      </c>
      <c r="K52" s="8" t="n"/>
      <c r="L52" s="8" t="n"/>
      <c r="M52" s="8" t="n"/>
      <c r="N52" s="8" t="n"/>
      <c r="P52" s="14" t="b">
        <v>0</v>
      </c>
      <c r="Q52" s="8" t="n"/>
      <c r="R52" s="8" t="n"/>
      <c r="S52" s="8" t="n"/>
      <c r="T52" s="8" t="n"/>
      <c r="V52" s="14" t="b">
        <v>0</v>
      </c>
      <c r="W52" s="8" t="n"/>
      <c r="X52" s="8" t="n"/>
      <c r="Y52" s="8" t="n"/>
      <c r="Z52" s="8" t="n"/>
      <c r="AB52" s="14" t="b">
        <v>0</v>
      </c>
      <c r="AC52" s="8" t="n"/>
      <c r="AD52" s="8" t="n"/>
      <c r="AE52" s="8" t="n"/>
      <c r="AF52" s="8" t="n"/>
      <c r="AH52" s="14" t="b">
        <v>0</v>
      </c>
      <c r="AI52" s="8" t="n"/>
      <c r="AJ52" s="8" t="n"/>
      <c r="AK52" s="8" t="n"/>
      <c r="AL52" s="8" t="n"/>
      <c r="AN52" s="14" t="b">
        <v>0</v>
      </c>
      <c r="AO52" s="8" t="n"/>
      <c r="AP52" s="8" t="n"/>
      <c r="AQ52" s="8" t="n"/>
      <c r="AR52" s="8" t="n"/>
      <c r="AT52" s="14" t="b">
        <v>0</v>
      </c>
      <c r="AU52" s="8" t="n"/>
      <c r="AV52" s="8" t="n"/>
      <c r="AW52" s="8" t="n"/>
      <c r="AX52" s="8" t="n"/>
    </row>
    <row r="53">
      <c r="J53" s="14" t="b">
        <v>0</v>
      </c>
      <c r="K53" s="8" t="n"/>
      <c r="L53" s="8" t="n"/>
      <c r="M53" s="8" t="n"/>
      <c r="N53" s="8" t="n"/>
      <c r="P53" s="14" t="b">
        <v>0</v>
      </c>
      <c r="Q53" s="8" t="n"/>
      <c r="R53" s="8" t="n"/>
      <c r="S53" s="8" t="n"/>
      <c r="T53" s="8" t="n"/>
      <c r="V53" s="14" t="b">
        <v>0</v>
      </c>
      <c r="W53" s="8" t="n"/>
      <c r="X53" s="8" t="n"/>
      <c r="Y53" s="8" t="n"/>
      <c r="Z53" s="8" t="n"/>
      <c r="AB53" s="14" t="b">
        <v>0</v>
      </c>
      <c r="AC53" s="8" t="n"/>
      <c r="AD53" s="8" t="n"/>
      <c r="AE53" s="8" t="n"/>
      <c r="AF53" s="8" t="n"/>
      <c r="AH53" s="14" t="b">
        <v>0</v>
      </c>
      <c r="AI53" s="8" t="n"/>
      <c r="AJ53" s="8" t="n"/>
      <c r="AK53" s="8" t="n"/>
      <c r="AL53" s="8" t="n"/>
      <c r="AN53" s="14" t="b">
        <v>0</v>
      </c>
      <c r="AO53" s="8" t="n"/>
      <c r="AP53" s="8" t="n"/>
      <c r="AQ53" s="8" t="n"/>
      <c r="AR53" s="8" t="n"/>
      <c r="AT53" s="14" t="b">
        <v>0</v>
      </c>
      <c r="AU53" s="8" t="n"/>
      <c r="AV53" s="8" t="n"/>
      <c r="AW53" s="8" t="n"/>
      <c r="AX53" s="8" t="n"/>
    </row>
    <row r="54">
      <c r="J54" s="14" t="b">
        <v>0</v>
      </c>
      <c r="K54" s="8" t="n"/>
      <c r="L54" s="8" t="n"/>
      <c r="M54" s="8" t="n"/>
      <c r="N54" s="8" t="n"/>
      <c r="P54" s="14" t="b">
        <v>0</v>
      </c>
      <c r="Q54" s="8" t="n"/>
      <c r="R54" s="8" t="n"/>
      <c r="S54" s="8" t="n"/>
      <c r="T54" s="8" t="n"/>
      <c r="V54" s="14" t="b">
        <v>0</v>
      </c>
      <c r="W54" s="8" t="n"/>
      <c r="X54" s="8" t="n"/>
      <c r="Y54" s="8" t="n"/>
      <c r="Z54" s="8" t="n"/>
      <c r="AB54" s="14" t="b">
        <v>0</v>
      </c>
      <c r="AC54" s="8" t="n"/>
      <c r="AD54" s="8" t="n"/>
      <c r="AE54" s="8" t="n"/>
      <c r="AF54" s="8" t="n"/>
      <c r="AH54" s="14" t="b">
        <v>0</v>
      </c>
      <c r="AI54" s="8" t="n"/>
      <c r="AJ54" s="8" t="n"/>
      <c r="AK54" s="8" t="n"/>
      <c r="AL54" s="8" t="n"/>
      <c r="AN54" s="14" t="b">
        <v>0</v>
      </c>
      <c r="AO54" s="8" t="n"/>
      <c r="AP54" s="8" t="n"/>
      <c r="AQ54" s="8" t="n"/>
      <c r="AR54" s="8" t="n"/>
      <c r="AT54" s="14" t="b">
        <v>0</v>
      </c>
      <c r="AU54" s="8" t="n"/>
      <c r="AV54" s="8" t="n"/>
      <c r="AW54" s="8" t="n"/>
      <c r="AX54" s="8" t="n"/>
    </row>
    <row r="55">
      <c r="J55" s="14" t="b">
        <v>0</v>
      </c>
      <c r="K55" s="8" t="n"/>
      <c r="L55" s="8" t="n"/>
      <c r="M55" s="8" t="n"/>
      <c r="N55" s="8" t="n"/>
      <c r="P55" s="14" t="b">
        <v>0</v>
      </c>
      <c r="Q55" s="8" t="n"/>
      <c r="R55" s="8" t="n"/>
      <c r="S55" s="8" t="n"/>
      <c r="T55" s="8" t="n"/>
      <c r="V55" s="14" t="b">
        <v>0</v>
      </c>
      <c r="W55" s="8" t="n"/>
      <c r="X55" s="8" t="n"/>
      <c r="Y55" s="8" t="n"/>
      <c r="Z55" s="8" t="n"/>
      <c r="AB55" s="14" t="b">
        <v>0</v>
      </c>
      <c r="AC55" s="8" t="n"/>
      <c r="AD55" s="8" t="n"/>
      <c r="AE55" s="8" t="n"/>
      <c r="AF55" s="8" t="n"/>
      <c r="AH55" s="14" t="b">
        <v>0</v>
      </c>
      <c r="AI55" s="8" t="n"/>
      <c r="AJ55" s="8" t="n"/>
      <c r="AK55" s="8" t="n"/>
      <c r="AL55" s="8" t="n"/>
      <c r="AN55" s="14" t="b">
        <v>0</v>
      </c>
      <c r="AO55" s="8" t="n"/>
      <c r="AP55" s="8" t="n"/>
      <c r="AQ55" s="8" t="n"/>
      <c r="AR55" s="8" t="n"/>
      <c r="AT55" s="14" t="b">
        <v>0</v>
      </c>
      <c r="AU55" s="8" t="n"/>
      <c r="AV55" s="8" t="n"/>
      <c r="AW55" s="8" t="n"/>
      <c r="AX55" s="8" t="n"/>
    </row>
    <row r="56">
      <c r="J56" s="14" t="b">
        <v>0</v>
      </c>
      <c r="K56" s="8" t="n"/>
      <c r="L56" s="8" t="n"/>
      <c r="M56" s="8" t="n"/>
      <c r="N56" s="8" t="n"/>
      <c r="P56" s="14" t="b">
        <v>0</v>
      </c>
      <c r="Q56" s="8" t="n"/>
      <c r="R56" s="8" t="n"/>
      <c r="S56" s="8" t="n"/>
      <c r="T56" s="8" t="n"/>
      <c r="V56" s="14" t="b">
        <v>0</v>
      </c>
      <c r="W56" s="8" t="n"/>
      <c r="X56" s="8" t="n"/>
      <c r="Y56" s="8" t="n"/>
      <c r="Z56" s="8" t="n"/>
      <c r="AB56" s="14" t="b">
        <v>0</v>
      </c>
      <c r="AC56" s="8" t="n"/>
      <c r="AD56" s="8" t="n"/>
      <c r="AE56" s="8" t="n"/>
      <c r="AF56" s="8" t="n"/>
      <c r="AH56" s="14" t="b">
        <v>0</v>
      </c>
      <c r="AI56" s="8" t="n"/>
      <c r="AJ56" s="8" t="n"/>
      <c r="AK56" s="8" t="n"/>
      <c r="AL56" s="8" t="n"/>
      <c r="AN56" s="14" t="b">
        <v>0</v>
      </c>
      <c r="AO56" s="8" t="n"/>
      <c r="AP56" s="8" t="n"/>
      <c r="AQ56" s="8" t="n"/>
      <c r="AR56" s="8" t="n"/>
      <c r="AT56" s="14" t="b">
        <v>0</v>
      </c>
      <c r="AU56" s="8" t="n"/>
      <c r="AV56" s="8" t="n"/>
      <c r="AW56" s="8" t="n"/>
      <c r="AX56" s="8" t="n"/>
    </row>
    <row r="58">
      <c r="J58" s="6">
        <f>IF(Settings!$C$99="",Settings!$B$99,Settings!$C$99)</f>
        <v/>
      </c>
      <c r="K58" s="6" t="n"/>
      <c r="L58" s="6" t="n"/>
      <c r="M58" s="6" t="n"/>
      <c r="N58" s="6" t="n"/>
      <c r="P58" s="6">
        <f>IF(Settings!$C$99="",Settings!$B$99,Settings!$C$99)</f>
        <v/>
      </c>
      <c r="Q58" s="6" t="n"/>
      <c r="R58" s="6" t="n"/>
      <c r="S58" s="6" t="n"/>
      <c r="T58" s="6" t="n"/>
      <c r="V58" s="6">
        <f>IF(Settings!$C$99="",Settings!$B$99,Settings!$C$99)</f>
        <v/>
      </c>
      <c r="W58" s="6" t="n"/>
      <c r="X58" s="6" t="n"/>
      <c r="Y58" s="6" t="n"/>
      <c r="Z58" s="6" t="n"/>
      <c r="AB58" s="6">
        <f>IF(Settings!$C$99="",Settings!$B$99,Settings!$C$99)</f>
        <v/>
      </c>
      <c r="AC58" s="6" t="n"/>
      <c r="AD58" s="6" t="n"/>
      <c r="AE58" s="6" t="n"/>
      <c r="AF58" s="6" t="n"/>
      <c r="AH58" s="6">
        <f>IF(Settings!$C$99="",Settings!$B$99,Settings!$C$99)</f>
        <v/>
      </c>
      <c r="AI58" s="6" t="n"/>
      <c r="AJ58" s="6" t="n"/>
      <c r="AK58" s="6" t="n"/>
      <c r="AL58" s="6" t="n"/>
      <c r="AN58" s="6">
        <f>IF(Settings!$C$99="",Settings!$B$99,Settings!$C$99)</f>
        <v/>
      </c>
      <c r="AO58" s="6" t="n"/>
      <c r="AP58" s="6" t="n"/>
      <c r="AQ58" s="6" t="n"/>
      <c r="AR58" s="6" t="n"/>
      <c r="AT58" s="6">
        <f>IF(Settings!$C$99="",Settings!$B$99,Settings!$C$99)</f>
        <v/>
      </c>
      <c r="AU58" s="6" t="n"/>
      <c r="AV58" s="6" t="n"/>
      <c r="AW58" s="6" t="n"/>
      <c r="AX58" s="6" t="n"/>
    </row>
    <row r="59">
      <c r="J59" s="8" t="n"/>
      <c r="K59" s="8" t="n"/>
      <c r="L59" s="8" t="n"/>
      <c r="M59" s="8" t="n"/>
      <c r="N59" s="8" t="n"/>
      <c r="P59" s="8" t="n"/>
      <c r="Q59" s="8" t="n"/>
      <c r="R59" s="8" t="n"/>
      <c r="S59" s="8" t="n"/>
      <c r="T59" s="8" t="n"/>
      <c r="V59" s="8" t="n"/>
      <c r="W59" s="8" t="n"/>
      <c r="X59" s="8" t="n"/>
      <c r="Y59" s="8" t="n"/>
      <c r="Z59" s="8" t="n"/>
      <c r="AB59" s="8" t="n"/>
      <c r="AC59" s="8" t="n"/>
      <c r="AD59" s="8" t="n"/>
      <c r="AE59" s="8" t="n"/>
      <c r="AF59" s="8" t="n"/>
      <c r="AH59" s="8" t="n"/>
      <c r="AI59" s="8" t="n"/>
      <c r="AJ59" s="8" t="n"/>
      <c r="AK59" s="8" t="n"/>
      <c r="AL59" s="8" t="n"/>
      <c r="AN59" s="8" t="n"/>
      <c r="AO59" s="8" t="n"/>
      <c r="AP59" s="8" t="n"/>
      <c r="AQ59" s="8" t="n"/>
      <c r="AR59" s="8" t="n"/>
      <c r="AT59" s="8" t="n"/>
      <c r="AU59" s="8" t="n"/>
      <c r="AV59" s="8" t="n"/>
      <c r="AW59" s="8" t="n"/>
      <c r="AX59" s="8" t="n"/>
    </row>
    <row r="60">
      <c r="J60" s="8" t="n"/>
      <c r="K60" s="8" t="n"/>
      <c r="L60" s="8" t="n"/>
      <c r="M60" s="8" t="n"/>
      <c r="N60" s="8" t="n"/>
      <c r="P60" s="8" t="n"/>
      <c r="Q60" s="8" t="n"/>
      <c r="R60" s="8" t="n"/>
      <c r="S60" s="8" t="n"/>
      <c r="T60" s="8" t="n"/>
      <c r="V60" s="8" t="n"/>
      <c r="W60" s="8" t="n"/>
      <c r="X60" s="8" t="n"/>
      <c r="Y60" s="8" t="n"/>
      <c r="Z60" s="8" t="n"/>
      <c r="AB60" s="8" t="n"/>
      <c r="AC60" s="8" t="n"/>
      <c r="AD60" s="8" t="n"/>
      <c r="AE60" s="8" t="n"/>
      <c r="AF60" s="8" t="n"/>
      <c r="AH60" s="8" t="n"/>
      <c r="AI60" s="8" t="n"/>
      <c r="AJ60" s="8" t="n"/>
      <c r="AK60" s="8" t="n"/>
      <c r="AL60" s="8" t="n"/>
      <c r="AN60" s="8" t="n"/>
      <c r="AO60" s="8" t="n"/>
      <c r="AP60" s="8" t="n"/>
      <c r="AQ60" s="8" t="n"/>
      <c r="AR60" s="8" t="n"/>
      <c r="AT60" s="8" t="n"/>
      <c r="AU60" s="8" t="n"/>
      <c r="AV60" s="8" t="n"/>
      <c r="AW60" s="8" t="n"/>
      <c r="AX60" s="8" t="n"/>
    </row>
    <row r="61">
      <c r="J61" s="8" t="n"/>
      <c r="K61" s="8" t="n"/>
      <c r="L61" s="8" t="n"/>
      <c r="M61" s="8" t="n"/>
      <c r="N61" s="8" t="n"/>
      <c r="P61" s="8" t="n"/>
      <c r="Q61" s="8" t="n"/>
      <c r="R61" s="8" t="n"/>
      <c r="S61" s="8" t="n"/>
      <c r="T61" s="8" t="n"/>
      <c r="V61" s="8" t="n"/>
      <c r="W61" s="8" t="n"/>
      <c r="X61" s="8" t="n"/>
      <c r="Y61" s="8" t="n"/>
      <c r="Z61" s="8" t="n"/>
      <c r="AB61" s="8" t="n"/>
      <c r="AC61" s="8" t="n"/>
      <c r="AD61" s="8" t="n"/>
      <c r="AE61" s="8" t="n"/>
      <c r="AF61" s="8" t="n"/>
      <c r="AH61" s="8" t="n"/>
      <c r="AI61" s="8" t="n"/>
      <c r="AJ61" s="8" t="n"/>
      <c r="AK61" s="8" t="n"/>
      <c r="AL61" s="8" t="n"/>
      <c r="AN61" s="8" t="n"/>
      <c r="AO61" s="8" t="n"/>
      <c r="AP61" s="8" t="n"/>
      <c r="AQ61" s="8" t="n"/>
      <c r="AR61" s="8" t="n"/>
      <c r="AT61" s="8" t="n"/>
      <c r="AU61" s="8" t="n"/>
      <c r="AV61" s="8" t="n"/>
      <c r="AW61" s="8" t="n"/>
      <c r="AX61" s="8" t="n"/>
    </row>
    <row r="62">
      <c r="J62" s="8" t="n"/>
      <c r="K62" s="8" t="n"/>
      <c r="L62" s="8" t="n"/>
      <c r="M62" s="8" t="n"/>
      <c r="N62" s="8" t="n"/>
      <c r="P62" s="8" t="n"/>
      <c r="Q62" s="8" t="n"/>
      <c r="R62" s="8" t="n"/>
      <c r="S62" s="8" t="n"/>
      <c r="T62" s="8" t="n"/>
      <c r="V62" s="8" t="n"/>
      <c r="W62" s="8" t="n"/>
      <c r="X62" s="8" t="n"/>
      <c r="Y62" s="8" t="n"/>
      <c r="Z62" s="8" t="n"/>
      <c r="AB62" s="8" t="n"/>
      <c r="AC62" s="8" t="n"/>
      <c r="AD62" s="8" t="n"/>
      <c r="AE62" s="8" t="n"/>
      <c r="AF62" s="8" t="n"/>
      <c r="AH62" s="8" t="n"/>
      <c r="AI62" s="8" t="n"/>
      <c r="AJ62" s="8" t="n"/>
      <c r="AK62" s="8" t="n"/>
      <c r="AL62" s="8" t="n"/>
      <c r="AN62" s="8" t="n"/>
      <c r="AO62" s="8" t="n"/>
      <c r="AP62" s="8" t="n"/>
      <c r="AQ62" s="8" t="n"/>
      <c r="AR62" s="8" t="n"/>
      <c r="AT62" s="8" t="n"/>
      <c r="AU62" s="8" t="n"/>
      <c r="AV62" s="8" t="n"/>
      <c r="AW62" s="8" t="n"/>
      <c r="AX62" s="8" t="n"/>
    </row>
    <row r="63">
      <c r="J63" s="8" t="n"/>
      <c r="K63" s="8" t="n"/>
      <c r="L63" s="8" t="n"/>
      <c r="M63" s="8" t="n"/>
      <c r="N63" s="8" t="n"/>
      <c r="P63" s="8" t="n"/>
      <c r="Q63" s="8" t="n"/>
      <c r="R63" s="8" t="n"/>
      <c r="S63" s="8" t="n"/>
      <c r="T63" s="8" t="n"/>
      <c r="V63" s="8" t="n"/>
      <c r="W63" s="8" t="n"/>
      <c r="X63" s="8" t="n"/>
      <c r="Y63" s="8" t="n"/>
      <c r="Z63" s="8" t="n"/>
      <c r="AB63" s="8" t="n"/>
      <c r="AC63" s="8" t="n"/>
      <c r="AD63" s="8" t="n"/>
      <c r="AE63" s="8" t="n"/>
      <c r="AF63" s="8" t="n"/>
      <c r="AH63" s="8" t="n"/>
      <c r="AI63" s="8" t="n"/>
      <c r="AJ63" s="8" t="n"/>
      <c r="AK63" s="8" t="n"/>
      <c r="AL63" s="8" t="n"/>
      <c r="AN63" s="8" t="n"/>
      <c r="AO63" s="8" t="n"/>
      <c r="AP63" s="8" t="n"/>
      <c r="AQ63" s="8" t="n"/>
      <c r="AR63" s="8" t="n"/>
      <c r="AT63" s="8" t="n"/>
      <c r="AU63" s="8" t="n"/>
      <c r="AV63" s="8" t="n"/>
      <c r="AW63" s="8" t="n"/>
      <c r="AX63" s="8" t="n"/>
    </row>
    <row r="65">
      <c r="J65" s="6">
        <f>IF(Settings!$C$97="",Settings!$B$97,Settings!$C$97)</f>
        <v/>
      </c>
      <c r="K65" s="6" t="n"/>
      <c r="L65" s="6" t="n"/>
      <c r="M65" s="6" t="n"/>
      <c r="N65" s="6" t="n"/>
      <c r="P65" s="6">
        <f>IF(Settings!$C$97="",Settings!$B$97,Settings!$C$97)</f>
        <v/>
      </c>
      <c r="Q65" s="6" t="n"/>
      <c r="R65" s="6" t="n"/>
      <c r="S65" s="6" t="n"/>
      <c r="T65" s="6" t="n"/>
      <c r="V65" s="6">
        <f>IF(Settings!$C$97="",Settings!$B$97,Settings!$C$97)</f>
        <v/>
      </c>
      <c r="W65" s="6" t="n"/>
      <c r="X65" s="6" t="n"/>
      <c r="Y65" s="6" t="n"/>
      <c r="Z65" s="6" t="n"/>
      <c r="AB65" s="6">
        <f>IF(Settings!$C$97="",Settings!$B$97,Settings!$C$97)</f>
        <v/>
      </c>
      <c r="AC65" s="6" t="n"/>
      <c r="AD65" s="6" t="n"/>
      <c r="AE65" s="6" t="n"/>
      <c r="AF65" s="6" t="n"/>
      <c r="AH65" s="6">
        <f>IF(Settings!$C$97="",Settings!$B$97,Settings!$C$97)</f>
        <v/>
      </c>
      <c r="AI65" s="6" t="n"/>
      <c r="AJ65" s="6" t="n"/>
      <c r="AK65" s="6" t="n"/>
      <c r="AL65" s="6" t="n"/>
      <c r="AN65" s="6">
        <f>IF(Settings!$C$97="",Settings!$B$97,Settings!$C$97)</f>
        <v/>
      </c>
      <c r="AO65" s="6" t="n"/>
      <c r="AP65" s="6" t="n"/>
      <c r="AQ65" s="6" t="n"/>
      <c r="AR65" s="6" t="n"/>
      <c r="AT65" s="6">
        <f>IF(Settings!$C$97="",Settings!$B$97,Settings!$C$97)</f>
        <v/>
      </c>
      <c r="AU65" s="6" t="n"/>
      <c r="AV65" s="6" t="n"/>
      <c r="AW65" s="6" t="n"/>
      <c r="AX65" s="6" t="n"/>
    </row>
    <row r="66">
      <c r="J66" s="8" t="n"/>
      <c r="K66" s="8" t="n"/>
      <c r="L66" s="8" t="n"/>
      <c r="M66" s="8" t="n"/>
      <c r="N66" s="8" t="n"/>
      <c r="P66" s="8" t="n"/>
      <c r="Q66" s="8" t="n"/>
      <c r="R66" s="8" t="n"/>
      <c r="S66" s="8" t="n"/>
      <c r="T66" s="8" t="n"/>
      <c r="V66" s="8" t="n"/>
      <c r="W66" s="8" t="n"/>
      <c r="X66" s="8" t="n"/>
      <c r="Y66" s="8" t="n"/>
      <c r="Z66" s="8" t="n"/>
      <c r="AB66" s="8" t="n"/>
      <c r="AC66" s="8" t="n"/>
      <c r="AD66" s="8" t="n"/>
      <c r="AE66" s="8" t="n"/>
      <c r="AF66" s="8" t="n"/>
      <c r="AH66" s="8" t="n"/>
      <c r="AI66" s="8" t="n"/>
      <c r="AJ66" s="8" t="n"/>
      <c r="AK66" s="8" t="n"/>
      <c r="AL66" s="8" t="n"/>
      <c r="AN66" s="8" t="n"/>
      <c r="AO66" s="8" t="n"/>
      <c r="AP66" s="8" t="n"/>
      <c r="AQ66" s="8" t="n"/>
      <c r="AR66" s="8" t="n"/>
      <c r="AT66" s="8" t="n"/>
      <c r="AU66" s="8" t="n"/>
      <c r="AV66" s="8" t="n"/>
      <c r="AW66" s="8" t="n"/>
      <c r="AX66" s="8" t="n"/>
    </row>
    <row r="67">
      <c r="J67" s="8" t="n"/>
      <c r="K67" s="8" t="n"/>
      <c r="L67" s="8" t="n"/>
      <c r="M67" s="8" t="n"/>
      <c r="N67" s="8" t="n"/>
      <c r="P67" s="8" t="n"/>
      <c r="Q67" s="8" t="n"/>
      <c r="R67" s="8" t="n"/>
      <c r="S67" s="8" t="n"/>
      <c r="T67" s="8" t="n"/>
      <c r="V67" s="8" t="n"/>
      <c r="W67" s="8" t="n"/>
      <c r="X67" s="8" t="n"/>
      <c r="Y67" s="8" t="n"/>
      <c r="Z67" s="8" t="n"/>
      <c r="AB67" s="8" t="n"/>
      <c r="AC67" s="8" t="n"/>
      <c r="AD67" s="8" t="n"/>
      <c r="AE67" s="8" t="n"/>
      <c r="AF67" s="8" t="n"/>
      <c r="AH67" s="8" t="n"/>
      <c r="AI67" s="8" t="n"/>
      <c r="AJ67" s="8" t="n"/>
      <c r="AK67" s="8" t="n"/>
      <c r="AL67" s="8" t="n"/>
      <c r="AN67" s="8" t="n"/>
      <c r="AO67" s="8" t="n"/>
      <c r="AP67" s="8" t="n"/>
      <c r="AQ67" s="8" t="n"/>
      <c r="AR67" s="8" t="n"/>
      <c r="AT67" s="8" t="n"/>
      <c r="AU67" s="8" t="n"/>
      <c r="AV67" s="8" t="n"/>
      <c r="AW67" s="8" t="n"/>
      <c r="AX67" s="8" t="n"/>
    </row>
    <row r="68">
      <c r="J68" s="8" t="n"/>
      <c r="K68" s="8" t="n"/>
      <c r="L68" s="8" t="n"/>
      <c r="M68" s="8" t="n"/>
      <c r="N68" s="8" t="n"/>
      <c r="P68" s="8" t="n"/>
      <c r="Q68" s="8" t="n"/>
      <c r="R68" s="8" t="n"/>
      <c r="S68" s="8" t="n"/>
      <c r="T68" s="8" t="n"/>
      <c r="V68" s="8" t="n"/>
      <c r="W68" s="8" t="n"/>
      <c r="X68" s="8" t="n"/>
      <c r="Y68" s="8" t="n"/>
      <c r="Z68" s="8" t="n"/>
      <c r="AB68" s="8" t="n"/>
      <c r="AC68" s="8" t="n"/>
      <c r="AD68" s="8" t="n"/>
      <c r="AE68" s="8" t="n"/>
      <c r="AF68" s="8" t="n"/>
      <c r="AH68" s="8" t="n"/>
      <c r="AI68" s="8" t="n"/>
      <c r="AJ68" s="8" t="n"/>
      <c r="AK68" s="8" t="n"/>
      <c r="AL68" s="8" t="n"/>
      <c r="AN68" s="8" t="n"/>
      <c r="AO68" s="8" t="n"/>
      <c r="AP68" s="8" t="n"/>
      <c r="AQ68" s="8" t="n"/>
      <c r="AR68" s="8" t="n"/>
      <c r="AT68" s="8" t="n"/>
      <c r="AU68" s="8" t="n"/>
      <c r="AV68" s="8" t="n"/>
      <c r="AW68" s="8" t="n"/>
      <c r="AX68" s="8" t="n"/>
    </row>
    <row r="69">
      <c r="J69" s="8" t="n"/>
      <c r="K69" s="8" t="n"/>
      <c r="L69" s="8" t="n"/>
      <c r="M69" s="8" t="n"/>
      <c r="N69" s="8" t="n"/>
      <c r="P69" s="8" t="n"/>
      <c r="Q69" s="8" t="n"/>
      <c r="R69" s="8" t="n"/>
      <c r="S69" s="8" t="n"/>
      <c r="T69" s="8" t="n"/>
      <c r="V69" s="8" t="n"/>
      <c r="W69" s="8" t="n"/>
      <c r="X69" s="8" t="n"/>
      <c r="Y69" s="8" t="n"/>
      <c r="Z69" s="8" t="n"/>
      <c r="AB69" s="8" t="n"/>
      <c r="AC69" s="8" t="n"/>
      <c r="AD69" s="8" t="n"/>
      <c r="AE69" s="8" t="n"/>
      <c r="AF69" s="8" t="n"/>
      <c r="AH69" s="8" t="n"/>
      <c r="AI69" s="8" t="n"/>
      <c r="AJ69" s="8" t="n"/>
      <c r="AK69" s="8" t="n"/>
      <c r="AL69" s="8" t="n"/>
      <c r="AN69" s="8" t="n"/>
      <c r="AO69" s="8" t="n"/>
      <c r="AP69" s="8" t="n"/>
      <c r="AQ69" s="8" t="n"/>
      <c r="AR69" s="8" t="n"/>
      <c r="AT69" s="8" t="n"/>
      <c r="AU69" s="8" t="n"/>
      <c r="AV69" s="8" t="n"/>
      <c r="AW69" s="8" t="n"/>
      <c r="AX69" s="8" t="n"/>
    </row>
    <row r="70">
      <c r="J70" s="8" t="n"/>
      <c r="K70" s="8" t="n"/>
      <c r="L70" s="8" t="n"/>
      <c r="M70" s="8" t="n"/>
      <c r="N70" s="8" t="n"/>
      <c r="P70" s="8" t="n"/>
      <c r="Q70" s="8" t="n"/>
      <c r="R70" s="8" t="n"/>
      <c r="S70" s="8" t="n"/>
      <c r="T70" s="8" t="n"/>
      <c r="V70" s="8" t="n"/>
      <c r="W70" s="8" t="n"/>
      <c r="X70" s="8" t="n"/>
      <c r="Y70" s="8" t="n"/>
      <c r="Z70" s="8" t="n"/>
      <c r="AB70" s="8" t="n"/>
      <c r="AC70" s="8" t="n"/>
      <c r="AD70" s="8" t="n"/>
      <c r="AE70" s="8" t="n"/>
      <c r="AF70" s="8" t="n"/>
      <c r="AH70" s="8" t="n"/>
      <c r="AI70" s="8" t="n"/>
      <c r="AJ70" s="8" t="n"/>
      <c r="AK70" s="8" t="n"/>
      <c r="AL70" s="8" t="n"/>
      <c r="AN70" s="8" t="n"/>
      <c r="AO70" s="8" t="n"/>
      <c r="AP70" s="8" t="n"/>
      <c r="AQ70" s="8" t="n"/>
      <c r="AR70" s="8" t="n"/>
      <c r="AT70" s="8" t="n"/>
      <c r="AU70" s="8" t="n"/>
      <c r="AV70" s="8" t="n"/>
      <c r="AW70" s="8" t="n"/>
      <c r="AX70" s="8" t="n"/>
    </row>
    <row r="71">
      <c r="J71" s="8" t="n"/>
      <c r="K71" s="8" t="n"/>
      <c r="L71" s="8" t="n"/>
      <c r="M71" s="8" t="n"/>
      <c r="N71" s="8" t="n"/>
      <c r="P71" s="8" t="n"/>
      <c r="Q71" s="8" t="n"/>
      <c r="R71" s="8" t="n"/>
      <c r="S71" s="8" t="n"/>
      <c r="T71" s="8" t="n"/>
      <c r="V71" s="8" t="n"/>
      <c r="W71" s="8" t="n"/>
      <c r="X71" s="8" t="n"/>
      <c r="Y71" s="8" t="n"/>
      <c r="Z71" s="8" t="n"/>
      <c r="AB71" s="8" t="n"/>
      <c r="AC71" s="8" t="n"/>
      <c r="AD71" s="8" t="n"/>
      <c r="AE71" s="8" t="n"/>
      <c r="AF71" s="8" t="n"/>
      <c r="AH71" s="8" t="n"/>
      <c r="AI71" s="8" t="n"/>
      <c r="AJ71" s="8" t="n"/>
      <c r="AK71" s="8" t="n"/>
      <c r="AL71" s="8" t="n"/>
      <c r="AN71" s="8" t="n"/>
      <c r="AO71" s="8" t="n"/>
      <c r="AP71" s="8" t="n"/>
      <c r="AQ71" s="8" t="n"/>
      <c r="AR71" s="8" t="n"/>
      <c r="AT71" s="8" t="n"/>
      <c r="AU71" s="8" t="n"/>
      <c r="AV71" s="8" t="n"/>
      <c r="AW71" s="8" t="n"/>
      <c r="AX71" s="8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B6:H11">
    <cfRule type="expression" priority="1" dxfId="3">
      <formula>B6=TODAY()</formula>
    </cfRule>
    <cfRule type="expression" priority="2" dxfId="4">
      <formula>ROW()-ROW($B$6)+1=$B$2</formula>
    </cfRule>
    <cfRule type="expression" priority="3" dxfId="5">
      <formula>MONTH(B6)&lt;&gt;$H$1</formula>
    </cfRule>
  </conditionalFormatting>
  <conditionalFormatting sqref="C15:H19">
    <cfRule type="expression" priority="4" dxfId="2">
      <formula>$B15=TRUE</formula>
    </cfRule>
  </conditionalFormatting>
  <conditionalFormatting sqref="C23:H27">
    <cfRule type="expression" priority="5" dxfId="2">
      <formula>$B23=TRUE</formula>
    </cfRule>
  </conditionalFormatting>
  <conditionalFormatting sqref="J5:N5">
    <cfRule type="expression" priority="6" dxfId="0">
      <formula>$N$5=TODAY()</formula>
    </cfRule>
    <cfRule type="expression" priority="7" dxfId="6">
      <formula>MONTH($N$5)&lt;&gt;$H$1</formula>
    </cfRule>
  </conditionalFormatting>
  <conditionalFormatting sqref="M47:N56">
    <cfRule type="expression" priority="8" dxfId="2">
      <formula>$J47=TRUE</formula>
    </cfRule>
  </conditionalFormatting>
  <conditionalFormatting sqref="P5:T5">
    <cfRule type="expression" priority="9" dxfId="0">
      <formula>$T$5=TODAY()</formula>
    </cfRule>
    <cfRule type="expression" priority="10" dxfId="6">
      <formula>MONTH($T$5)&lt;&gt;$H$1</formula>
    </cfRule>
  </conditionalFormatting>
  <conditionalFormatting sqref="S47:T56">
    <cfRule type="expression" priority="11" dxfId="2">
      <formula>$P47=TRUE</formula>
    </cfRule>
  </conditionalFormatting>
  <conditionalFormatting sqref="V5:Z5">
    <cfRule type="expression" priority="12" dxfId="0">
      <formula>$Z$5=TODAY()</formula>
    </cfRule>
    <cfRule type="expression" priority="13" dxfId="6">
      <formula>MONTH($Z$5)&lt;&gt;$H$1</formula>
    </cfRule>
  </conditionalFormatting>
  <conditionalFormatting sqref="Y47:Z56">
    <cfRule type="expression" priority="14" dxfId="2">
      <formula>$V47=TRUE</formula>
    </cfRule>
  </conditionalFormatting>
  <conditionalFormatting sqref="AB5:AF5">
    <cfRule type="expression" priority="15" dxfId="0">
      <formula>$AF$5=TODAY()</formula>
    </cfRule>
    <cfRule type="expression" priority="16" dxfId="6">
      <formula>MONTH($AF$5)&lt;&gt;$H$1</formula>
    </cfRule>
  </conditionalFormatting>
  <conditionalFormatting sqref="AE47:AF56">
    <cfRule type="expression" priority="17" dxfId="2">
      <formula>$AB47=TRUE</formula>
    </cfRule>
  </conditionalFormatting>
  <conditionalFormatting sqref="AH5:AL5">
    <cfRule type="expression" priority="18" dxfId="0">
      <formula>$AL$5=TODAY()</formula>
    </cfRule>
    <cfRule type="expression" priority="19" dxfId="6">
      <formula>MONTH($AL$5)&lt;&gt;$H$1</formula>
    </cfRule>
  </conditionalFormatting>
  <conditionalFormatting sqref="AK47:AL56">
    <cfRule type="expression" priority="20" dxfId="2">
      <formula>$AH47=TRUE</formula>
    </cfRule>
  </conditionalFormatting>
  <conditionalFormatting sqref="AN5:AR5">
    <cfRule type="expression" priority="21" dxfId="0">
      <formula>$AR$5=TODAY()</formula>
    </cfRule>
    <cfRule type="expression" priority="22" dxfId="6">
      <formula>MONTH($AR$5)&lt;&gt;$H$1</formula>
    </cfRule>
  </conditionalFormatting>
  <conditionalFormatting sqref="AQ47:AR56">
    <cfRule type="expression" priority="23" dxfId="2">
      <formula>$AN47=TRUE</formula>
    </cfRule>
  </conditionalFormatting>
  <conditionalFormatting sqref="AT5:AX5">
    <cfRule type="expression" priority="24" dxfId="0">
      <formula>$AX$5=TODAY()</formula>
    </cfRule>
    <cfRule type="expression" priority="25" dxfId="6">
      <formula>MONTH($AX$5)&lt;&gt;$H$1</formula>
    </cfRule>
  </conditionalFormatting>
  <conditionalFormatting sqref="AW47:AX56">
    <cfRule type="expression" priority="26" dxfId="2">
      <formula>$AT47=TRUE</formula>
    </cfRule>
  </conditionalFormatting>
  <conditionalFormatting sqref="K47:K56 Q47:Q56 W47:W56 AC47:AC56 AI47:AI56 AO47:AO56 AU47:AU56">
    <cfRule type="expression" priority="27" dxfId="7">
      <formula>AND(K47&lt;&gt;"",K47=INDIRECT("Settings!$B$12"))</formula>
    </cfRule>
    <cfRule type="expression" priority="28" dxfId="8">
      <formula>AND(K47&lt;&gt;"",K47=INDIRECT("Settings!$B$13"))</formula>
    </cfRule>
    <cfRule type="expression" priority="29" dxfId="9">
      <formula>AND(K47&lt;&gt;"",K47=INDIRECT("Settings!$B$14"))</formula>
    </cfRule>
    <cfRule type="expression" priority="30" dxfId="10">
      <formula>AND(K47&lt;&gt;"",K47=INDIRECT("Settings!$B$15"))</formula>
    </cfRule>
    <cfRule type="expression" priority="31" dxfId="11">
      <formula>AND(K47&lt;&gt;"",K47=INDIRECT("Settings!$B$16"))</formula>
    </cfRule>
    <cfRule type="expression" priority="32" dxfId="12">
      <formula>AND(K47&lt;&gt;"",K47=INDIRECT("Settings!$B$17"))</formula>
    </cfRule>
    <cfRule type="expression" priority="33" dxfId="13">
      <formula>AND(K47&lt;&gt;"",K47=INDIRECT("Settings!$B$18"))</formula>
    </cfRule>
    <cfRule type="expression" priority="58" dxfId="14">
      <formula>AND(K47&lt;&gt;"",COUNTIF(INDIRECT("Settings!B12:B18"),K47)=0)</formula>
    </cfRule>
  </conditionalFormatting>
  <conditionalFormatting sqref="L47:L56 R47:R56 X47:X56 AD47:AD56 AJ47:AJ56 AP47:AP56 AV47:AV56">
    <cfRule type="expression" priority="34" dxfId="15">
      <formula>AND(L47&lt;&gt;"",L47=INDIRECT("Settings!$B$22"))</formula>
    </cfRule>
    <cfRule type="expression" priority="36" dxfId="16">
      <formula>AND(L47&lt;&gt;"",L47=INDIRECT("Settings!$B$23"))</formula>
    </cfRule>
    <cfRule type="expression" priority="38" dxfId="17">
      <formula>AND(L47&lt;&gt;"",L47=INDIRECT("Settings!$B$24"))</formula>
    </cfRule>
    <cfRule type="expression" priority="40" dxfId="18">
      <formula>AND(L47&lt;&gt;"",L47=INDIRECT("Settings!$B$25"))</formula>
    </cfRule>
    <cfRule type="expression" priority="42" dxfId="19">
      <formula>AND(L47&lt;&gt;"",L47=INDIRECT("Settings!$B$26"))</formula>
    </cfRule>
    <cfRule type="expression" priority="44" dxfId="20">
      <formula>AND(L47&lt;&gt;"",L47=INDIRECT("Settings!$B$27"))</formula>
    </cfRule>
    <cfRule type="expression" priority="46" dxfId="21">
      <formula>AND(L47&lt;&gt;"",L47=INDIRECT("Settings!$B$28"))</formula>
    </cfRule>
    <cfRule type="expression" priority="48" dxfId="22">
      <formula>AND(L47&lt;&gt;"",L47=INDIRECT("Settings!$B$29"))</formula>
    </cfRule>
    <cfRule type="expression" priority="50" dxfId="23">
      <formula>AND(L47&lt;&gt;"",L47=INDIRECT("Settings!$B$30"))</formula>
    </cfRule>
    <cfRule type="expression" priority="52" dxfId="24">
      <formula>AND(L47&lt;&gt;"",L47=INDIRECT("Settings!$B$31"))</formula>
    </cfRule>
    <cfRule type="expression" priority="54" dxfId="25">
      <formula>AND(L47&lt;&gt;"",L47=INDIRECT("Settings!$B$32"))</formula>
    </cfRule>
    <cfRule type="expression" priority="56" dxfId="26">
      <formula>AND(L47&lt;&gt;"",L47=INDIRECT("Settings!$B$33"))</formula>
    </cfRule>
    <cfRule type="expression" priority="59" dxfId="14">
      <formula>AND(L47&lt;&gt;"",COUNTIF(INDIRECT("Settings!B22:B33"),L47)=0)</formula>
    </cfRule>
  </conditionalFormatting>
  <conditionalFormatting sqref="N9:N44 T9:T44 Z9:Z44 AF9:AF44 AL9:AL44 AR9:AR44 AX9:AX44">
    <cfRule type="expression" priority="35" dxfId="15">
      <formula>AND(N9&lt;&gt;"",N9=INDIRECT("Settings!$B$22"))</formula>
    </cfRule>
    <cfRule type="expression" priority="37" dxfId="16">
      <formula>AND(N9&lt;&gt;"",N9=INDIRECT("Settings!$B$23"))</formula>
    </cfRule>
    <cfRule type="expression" priority="39" dxfId="17">
      <formula>AND(N9&lt;&gt;"",N9=INDIRECT("Settings!$B$24"))</formula>
    </cfRule>
    <cfRule type="expression" priority="41" dxfId="18">
      <formula>AND(N9&lt;&gt;"",N9=INDIRECT("Settings!$B$25"))</formula>
    </cfRule>
    <cfRule type="expression" priority="43" dxfId="19">
      <formula>AND(N9&lt;&gt;"",N9=INDIRECT("Settings!$B$26"))</formula>
    </cfRule>
    <cfRule type="expression" priority="45" dxfId="20">
      <formula>AND(N9&lt;&gt;"",N9=INDIRECT("Settings!$B$27"))</formula>
    </cfRule>
    <cfRule type="expression" priority="47" dxfId="21">
      <formula>AND(N9&lt;&gt;"",N9=INDIRECT("Settings!$B$28"))</formula>
    </cfRule>
    <cfRule type="expression" priority="49" dxfId="22">
      <formula>AND(N9&lt;&gt;"",N9=INDIRECT("Settings!$B$29"))</formula>
    </cfRule>
    <cfRule type="expression" priority="51" dxfId="23">
      <formula>AND(N9&lt;&gt;"",N9=INDIRECT("Settings!$B$30"))</formula>
    </cfRule>
    <cfRule type="expression" priority="53" dxfId="24">
      <formula>AND(N9&lt;&gt;"",N9=INDIRECT("Settings!$B$31"))</formula>
    </cfRule>
    <cfRule type="expression" priority="55" dxfId="25">
      <formula>AND(N9&lt;&gt;"",N9=INDIRECT("Settings!$B$32"))</formula>
    </cfRule>
    <cfRule type="expression" priority="57" dxfId="26">
      <formula>AND(N9&lt;&gt;"",N9=INDIRECT("Settings!$B$33"))</formula>
    </cfRule>
    <cfRule type="expression" priority="60" dxfId="14">
      <formula>AND(N9&lt;&gt;"",COUNTIF(INDIRECT("Settings!B22:B33"),N9)=0)</formula>
    </cfRule>
  </conditionalFormatting>
  <conditionalFormatting sqref="B4:BJ71">
    <cfRule type="expression" priority="61" dxfId="5">
      <formula>$B$3&lt;&gt;""</formula>
    </cfRule>
  </conditionalFormatting>
  <conditionalFormatting sqref="BB6:BH26">
    <cfRule type="expression" priority="62" dxfId="27">
      <formula>BB6=TRUE</formula>
    </cfRule>
  </conditionalFormatting>
  <conditionalFormatting sqref="BA6:BJ26">
    <cfRule type="expression" priority="63" dxfId="28">
      <formula>$BA6=""</formula>
    </cfRule>
  </conditionalFormatting>
  <dataValidations count="7">
    <dataValidation sqref="K47:K56 Q47:Q56 W47:W56 AC47:AC56 AI47:AI56 AO47:AO56 AU47:AU56" showDropDown="0" showInputMessage="0" showErrorMessage="0" allowBlank="1" type="list">
      <formula1>=Settings!$B$12:$B$18</formula1>
    </dataValidation>
    <dataValidation sqref="L47:L56 N9:N44 R47:R56 T9:T44 X47:X56 Z9:Z44 AD47:AD56 AF9:AF44 AJ47:AJ56 AL9:AL44 AP47:AP56 AR9:AR44 AV47:AV56 AX9:AX44" showDropDown="0" showInputMessage="0" showErrorMessage="0" allowBlank="1" type="list">
      <formula1>=Settings!$B$22:$B$33</formula1>
    </dataValidation>
    <dataValidation sqref="BB31:BH31" showDropDown="0" showInputMessage="0" showErrorMessage="1" allowBlank="1" errorTitle="Out of range" error="Value must be between Min and Max set on the Settings tab." type="decimal" operator="between">
      <formula1>Settings!$D$61</formula1>
      <formula2>Settings!$E$61</formula2>
    </dataValidation>
    <dataValidation sqref="BB33:BH33" showDropDown="0" showInputMessage="0" showErrorMessage="1" allowBlank="1" errorTitle="Out of range" error="Value must be between Min and Max set on the Settings tab." type="decimal" operator="between">
      <formula1>Settings!$D$62</formula1>
      <formula2>Settings!$E$62</formula2>
    </dataValidation>
    <dataValidation sqref="BB35:BH35" showDropDown="0" showInputMessage="0" showErrorMessage="1" allowBlank="1" errorTitle="Out of range" error="Value must be between Min and Max set on the Settings tab." type="decimal" operator="between">
      <formula1>Settings!$D$63</formula1>
      <formula2>Settings!$E$63</formula2>
    </dataValidation>
    <dataValidation sqref="BB37:BH37" showDropDown="0" showInputMessage="0" showErrorMessage="1" allowBlank="1" errorTitle="Out of range" error="Value must be between Min and Max set on the Settings tab." type="decimal" operator="between">
      <formula1>Settings!$D$64</formula1>
      <formula2>Settings!$E$64</formula2>
    </dataValidation>
    <dataValidation sqref="BB39:BH39" showDropDown="0" showInputMessage="0" showErrorMessage="1" allowBlank="1" errorTitle="Out of range" error="Value must be between Min and Max set on the Settings tab." type="decimal" operator="between">
      <formula1>Settings!$D$65</formula1>
      <formula2>Settings!$E$65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4566B"/>
    <outlinePr summaryBelow="1" summaryRight="1"/>
    <pageSetUpPr fitToPage="1"/>
  </sheetPr>
  <dimension ref="B1:BT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3" customWidth="1" min="9" max="9"/>
    <col width="11" customWidth="1" min="10" max="10"/>
    <col width="11" customWidth="1" min="11" max="11"/>
    <col width="13" customWidth="1" min="12" max="12"/>
    <col width="20" customWidth="1" min="13" max="13"/>
    <col width="13" customWidth="1" min="14" max="14"/>
    <col width="3" customWidth="1" min="15" max="15"/>
    <col width="11" customWidth="1" min="16" max="16"/>
    <col width="11" customWidth="1" min="17" max="17"/>
    <col width="13" customWidth="1" min="18" max="18"/>
    <col width="20" customWidth="1" min="19" max="19"/>
    <col width="13" customWidth="1" min="20" max="20"/>
    <col width="3" customWidth="1" min="21" max="21"/>
    <col width="11" customWidth="1" min="22" max="22"/>
    <col width="11" customWidth="1" min="23" max="23"/>
    <col width="13" customWidth="1" min="24" max="24"/>
    <col width="20" customWidth="1" min="25" max="25"/>
    <col width="13" customWidth="1" min="26" max="26"/>
    <col width="3" customWidth="1" min="27" max="27"/>
    <col width="11" customWidth="1" min="28" max="28"/>
    <col width="11" customWidth="1" min="29" max="29"/>
    <col width="13" customWidth="1" min="30" max="30"/>
    <col width="20" customWidth="1" min="31" max="31"/>
    <col width="13" customWidth="1" min="32" max="32"/>
    <col width="3" customWidth="1" min="33" max="33"/>
    <col width="11" customWidth="1" min="34" max="34"/>
    <col width="11" customWidth="1" min="35" max="35"/>
    <col width="13" customWidth="1" min="36" max="36"/>
    <col width="20" customWidth="1" min="37" max="37"/>
    <col width="13" customWidth="1" min="38" max="38"/>
    <col width="3" customWidth="1" min="39" max="39"/>
    <col width="11" customWidth="1" min="40" max="40"/>
    <col width="11" customWidth="1" min="41" max="41"/>
    <col width="13" customWidth="1" min="42" max="42"/>
    <col width="20" customWidth="1" min="43" max="43"/>
    <col width="13" customWidth="1" min="44" max="44"/>
    <col width="3" customWidth="1" min="45" max="45"/>
    <col width="11" customWidth="1" min="46" max="46"/>
    <col width="11" customWidth="1" min="47" max="47"/>
    <col width="13" customWidth="1" min="48" max="48"/>
    <col width="20" customWidth="1" min="49" max="49"/>
    <col width="13" customWidth="1" min="50" max="50"/>
    <col width="3" customWidth="1" min="51" max="51"/>
    <col width="3" customWidth="1" min="52" max="52"/>
    <col width="26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9" customWidth="1" min="61" max="61"/>
    <col width="14" customWidth="1" min="62" max="62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B1" s="24">
        <f>Calc!M3&amp;"  ·  "&amp;INDEX(Calc!$F$10:$F$15,$B$2)</f>
        <v/>
      </c>
      <c r="H1" s="25">
        <f>Calc!$B$1</f>
        <v/>
      </c>
    </row>
    <row r="2">
      <c r="B2" s="26" t="n">
        <v>3</v>
      </c>
      <c r="D2" s="17">
        <f>HYPERLINK("#'Month'!A1","◀ Month")</f>
        <v/>
      </c>
      <c r="F2" s="17">
        <f>HYPERLINK("#'W2'!A1","‹ Prev")</f>
        <v/>
      </c>
      <c r="H2" s="17">
        <f>HYPERLINK("#'W4'!A1","Next ›")</f>
        <v/>
      </c>
    </row>
    <row r="3">
      <c r="B3" s="27">
        <f>IF(INDEX(Calc!$E$10:$E$15,$B$2),"","This week is not used in "&amp;Calc!$M$2&amp;".")</f>
        <v/>
      </c>
    </row>
    <row r="4">
      <c r="BA4" s="6">
        <f>IF(Settings!$C$100="",Settings!$B$100,Settings!$C$100)</f>
        <v/>
      </c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</row>
    <row r="5">
      <c r="B5" s="28">
        <f>LEFT(Calc!D1,2)</f>
        <v/>
      </c>
      <c r="C5" s="28">
        <f>LEFT(Calc!E1,2)</f>
        <v/>
      </c>
      <c r="D5" s="28">
        <f>LEFT(Calc!F1,2)</f>
        <v/>
      </c>
      <c r="E5" s="28">
        <f>LEFT(Calc!G1,2)</f>
        <v/>
      </c>
      <c r="F5" s="28">
        <f>LEFT(Calc!H1,2)</f>
        <v/>
      </c>
      <c r="G5" s="28">
        <f>LEFT(Calc!I1,2)</f>
        <v/>
      </c>
      <c r="H5" s="28">
        <f>LEFT(Calc!J1,2)</f>
        <v/>
      </c>
      <c r="J5" s="29">
        <f>IF(INDEX(Settings!$C$69:$C$75,WEEKDAY($N$5,1))="",INDEX(Settings!$B$69:$B$75,WEEKDAY($N$5,1)),INDEX(Settings!$C$69:$C$75,WEEKDAY($N$5,1)))</f>
        <v/>
      </c>
      <c r="K5" s="29" t="n"/>
      <c r="L5" s="29" t="n"/>
      <c r="M5" s="29" t="n"/>
      <c r="N5" s="30">
        <f>INDEX(Calc!$D$3:$J$8,$B$2,1)</f>
        <v/>
      </c>
      <c r="P5" s="29">
        <f>IF(INDEX(Settings!$C$69:$C$75,WEEKDAY($T$5,1))="",INDEX(Settings!$B$69:$B$75,WEEKDAY($T$5,1)),INDEX(Settings!$C$69:$C$75,WEEKDAY($T$5,1)))</f>
        <v/>
      </c>
      <c r="Q5" s="29" t="n"/>
      <c r="R5" s="29" t="n"/>
      <c r="S5" s="29" t="n"/>
      <c r="T5" s="30">
        <f>INDEX(Calc!$D$3:$J$8,$B$2,2)</f>
        <v/>
      </c>
      <c r="V5" s="29">
        <f>IF(INDEX(Settings!$C$69:$C$75,WEEKDAY($Z$5,1))="",INDEX(Settings!$B$69:$B$75,WEEKDAY($Z$5,1)),INDEX(Settings!$C$69:$C$75,WEEKDAY($Z$5,1)))</f>
        <v/>
      </c>
      <c r="W5" s="29" t="n"/>
      <c r="X5" s="29" t="n"/>
      <c r="Y5" s="29" t="n"/>
      <c r="Z5" s="30">
        <f>INDEX(Calc!$D$3:$J$8,$B$2,3)</f>
        <v/>
      </c>
      <c r="AB5" s="29">
        <f>IF(INDEX(Settings!$C$69:$C$75,WEEKDAY($AF$5,1))="",INDEX(Settings!$B$69:$B$75,WEEKDAY($AF$5,1)),INDEX(Settings!$C$69:$C$75,WEEKDAY($AF$5,1)))</f>
        <v/>
      </c>
      <c r="AC5" s="29" t="n"/>
      <c r="AD5" s="29" t="n"/>
      <c r="AE5" s="29" t="n"/>
      <c r="AF5" s="30">
        <f>INDEX(Calc!$D$3:$J$8,$B$2,4)</f>
        <v/>
      </c>
      <c r="AH5" s="29">
        <f>IF(INDEX(Settings!$C$69:$C$75,WEEKDAY($AL$5,1))="",INDEX(Settings!$B$69:$B$75,WEEKDAY($AL$5,1)),INDEX(Settings!$C$69:$C$75,WEEKDAY($AL$5,1)))</f>
        <v/>
      </c>
      <c r="AI5" s="29" t="n"/>
      <c r="AJ5" s="29" t="n"/>
      <c r="AK5" s="29" t="n"/>
      <c r="AL5" s="30">
        <f>INDEX(Calc!$D$3:$J$8,$B$2,5)</f>
        <v/>
      </c>
      <c r="AN5" s="29">
        <f>IF(INDEX(Settings!$C$69:$C$75,WEEKDAY($AR$5,1))="",INDEX(Settings!$B$69:$B$75,WEEKDAY($AR$5,1)),INDEX(Settings!$C$69:$C$75,WEEKDAY($AR$5,1)))</f>
        <v/>
      </c>
      <c r="AO5" s="29" t="n"/>
      <c r="AP5" s="29" t="n"/>
      <c r="AQ5" s="29" t="n"/>
      <c r="AR5" s="30">
        <f>INDEX(Calc!$D$3:$J$8,$B$2,6)</f>
        <v/>
      </c>
      <c r="AT5" s="29">
        <f>IF(INDEX(Settings!$C$69:$C$75,WEEKDAY($AX$5,1))="",INDEX(Settings!$B$69:$B$75,WEEKDAY($AX$5,1)),INDEX(Settings!$C$69:$C$75,WEEKDAY($AX$5,1)))</f>
        <v/>
      </c>
      <c r="AU5" s="29" t="n"/>
      <c r="AV5" s="29" t="n"/>
      <c r="AW5" s="29" t="n"/>
      <c r="AX5" s="30">
        <f>INDEX(Calc!$D$3:$J$8,$B$2,7)</f>
        <v/>
      </c>
      <c r="BA5" s="31" t="n"/>
      <c r="BB5" s="32">
        <f>LEFT(IF(INDEX(Settings!$C$69:$C$75,WEEKDAY(INDEX(Calc!$D$3:$J$8,$B$2,1),1))="",INDEX(Settings!$B$69:$B$75,WEEKDAY(INDEX(Calc!$D$3:$J$8,$B$2,1),1)),INDEX(Settings!$C$69:$C$75,WEEKDAY(INDEX(Calc!$D$3:$J$8,$B$2,1),1))),3)</f>
        <v/>
      </c>
      <c r="BC5" s="32">
        <f>LEFT(IF(INDEX(Settings!$C$69:$C$75,WEEKDAY(INDEX(Calc!$D$3:$J$8,$B$2,2),1))="",INDEX(Settings!$B$69:$B$75,WEEKDAY(INDEX(Calc!$D$3:$J$8,$B$2,2),1)),INDEX(Settings!$C$69:$C$75,WEEKDAY(INDEX(Calc!$D$3:$J$8,$B$2,2),1))),3)</f>
        <v/>
      </c>
      <c r="BD5" s="32">
        <f>LEFT(IF(INDEX(Settings!$C$69:$C$75,WEEKDAY(INDEX(Calc!$D$3:$J$8,$B$2,3),1))="",INDEX(Settings!$B$69:$B$75,WEEKDAY(INDEX(Calc!$D$3:$J$8,$B$2,3),1)),INDEX(Settings!$C$69:$C$75,WEEKDAY(INDEX(Calc!$D$3:$J$8,$B$2,3),1))),3)</f>
        <v/>
      </c>
      <c r="BE5" s="32">
        <f>LEFT(IF(INDEX(Settings!$C$69:$C$75,WEEKDAY(INDEX(Calc!$D$3:$J$8,$B$2,4),1))="",INDEX(Settings!$B$69:$B$75,WEEKDAY(INDEX(Calc!$D$3:$J$8,$B$2,4),1)),INDEX(Settings!$C$69:$C$75,WEEKDAY(INDEX(Calc!$D$3:$J$8,$B$2,4),1))),3)</f>
        <v/>
      </c>
      <c r="BF5" s="32">
        <f>LEFT(IF(INDEX(Settings!$C$69:$C$75,WEEKDAY(INDEX(Calc!$D$3:$J$8,$B$2,5),1))="",INDEX(Settings!$B$69:$B$75,WEEKDAY(INDEX(Calc!$D$3:$J$8,$B$2,5),1)),INDEX(Settings!$C$69:$C$75,WEEKDAY(INDEX(Calc!$D$3:$J$8,$B$2,5),1))),3)</f>
        <v/>
      </c>
      <c r="BG5" s="32">
        <f>LEFT(IF(INDEX(Settings!$C$69:$C$75,WEEKDAY(INDEX(Calc!$D$3:$J$8,$B$2,6),1))="",INDEX(Settings!$B$69:$B$75,WEEKDAY(INDEX(Calc!$D$3:$J$8,$B$2,6),1)),INDEX(Settings!$C$69:$C$75,WEEKDAY(INDEX(Calc!$D$3:$J$8,$B$2,6),1))),3)</f>
        <v/>
      </c>
      <c r="BH5" s="32">
        <f>LEFT(IF(INDEX(Settings!$C$69:$C$75,WEEKDAY(INDEX(Calc!$D$3:$J$8,$B$2,7),1))="",INDEX(Settings!$B$69:$B$75,WEEKDAY(INDEX(Calc!$D$3:$J$8,$B$2,7),1)),INDEX(Settings!$C$69:$C$75,WEEKDAY(INDEX(Calc!$D$3:$J$8,$B$2,7),1))),3)</f>
        <v/>
      </c>
      <c r="BI5" s="32" t="inlineStr">
        <is>
          <t>%</t>
        </is>
      </c>
      <c r="BJ5" s="31" t="inlineStr">
        <is>
          <t>Progress</t>
        </is>
      </c>
    </row>
    <row r="6">
      <c r="B6" s="33">
        <f>Calc!D3</f>
        <v/>
      </c>
      <c r="C6" s="33">
        <f>Calc!E3</f>
        <v/>
      </c>
      <c r="D6" s="33">
        <f>Calc!F3</f>
        <v/>
      </c>
      <c r="E6" s="33">
        <f>Calc!G3</f>
        <v/>
      </c>
      <c r="F6" s="33">
        <f>Calc!H3</f>
        <v/>
      </c>
      <c r="G6" s="33">
        <f>Calc!I3</f>
        <v/>
      </c>
      <c r="H6" s="33">
        <f>Calc!J3</f>
        <v/>
      </c>
      <c r="J6" s="34">
        <f>IFERROR(SUMPRODUCT((M47:M56&lt;&gt;"")*(J47:J56=TRUE))/SUMPRODUCT((M47:M56&lt;&gt;"")*1),0)</f>
        <v/>
      </c>
      <c r="K6" s="35">
        <f>IF(J6="","",REPT("█",ROUND(J6*14,0))&amp;REPT("░",14-ROUND(J6*14,0)))</f>
        <v/>
      </c>
      <c r="L6" s="13" t="n"/>
      <c r="M6" s="13" t="n"/>
      <c r="N6" s="13" t="n"/>
      <c r="P6" s="34">
        <f>IFERROR(SUMPRODUCT((S47:S56&lt;&gt;"")*(P47:P56=TRUE))/SUMPRODUCT((S47:S56&lt;&gt;"")*1),0)</f>
        <v/>
      </c>
      <c r="Q6" s="35">
        <f>IF(P6="","",REPT("█",ROUND(P6*14,0))&amp;REPT("░",14-ROUND(P6*14,0)))</f>
        <v/>
      </c>
      <c r="R6" s="13" t="n"/>
      <c r="S6" s="13" t="n"/>
      <c r="T6" s="13" t="n"/>
      <c r="V6" s="34">
        <f>IFERROR(SUMPRODUCT((Y47:Y56&lt;&gt;"")*(V47:V56=TRUE))/SUMPRODUCT((Y47:Y56&lt;&gt;"")*1),0)</f>
        <v/>
      </c>
      <c r="W6" s="35">
        <f>IF(V6="","",REPT("█",ROUND(V6*14,0))&amp;REPT("░",14-ROUND(V6*14,0)))</f>
        <v/>
      </c>
      <c r="X6" s="13" t="n"/>
      <c r="Y6" s="13" t="n"/>
      <c r="Z6" s="13" t="n"/>
      <c r="AB6" s="34">
        <f>IFERROR(SUMPRODUCT((AE47:AE56&lt;&gt;"")*(AB47:AB56=TRUE))/SUMPRODUCT((AE47:AE56&lt;&gt;"")*1),0)</f>
        <v/>
      </c>
      <c r="AC6" s="35">
        <f>IF(AB6="","",REPT("█",ROUND(AB6*14,0))&amp;REPT("░",14-ROUND(AB6*14,0)))</f>
        <v/>
      </c>
      <c r="AD6" s="13" t="n"/>
      <c r="AE6" s="13" t="n"/>
      <c r="AF6" s="13" t="n"/>
      <c r="AH6" s="34">
        <f>IFERROR(SUMPRODUCT((AK47:AK56&lt;&gt;"")*(AH47:AH56=TRUE))/SUMPRODUCT((AK47:AK56&lt;&gt;"")*1),0)</f>
        <v/>
      </c>
      <c r="AI6" s="35">
        <f>IF(AH6="","",REPT("█",ROUND(AH6*14,0))&amp;REPT("░",14-ROUND(AH6*14,0)))</f>
        <v/>
      </c>
      <c r="AJ6" s="13" t="n"/>
      <c r="AK6" s="13" t="n"/>
      <c r="AL6" s="13" t="n"/>
      <c r="AN6" s="34">
        <f>IFERROR(SUMPRODUCT((AQ47:AQ56&lt;&gt;"")*(AN47:AN56=TRUE))/SUMPRODUCT((AQ47:AQ56&lt;&gt;"")*1),0)</f>
        <v/>
      </c>
      <c r="AO6" s="35">
        <f>IF(AN6="","",REPT("█",ROUND(AN6*14,0))&amp;REPT("░",14-ROUND(AN6*14,0)))</f>
        <v/>
      </c>
      <c r="AP6" s="13" t="n"/>
      <c r="AQ6" s="13" t="n"/>
      <c r="AR6" s="13" t="n"/>
      <c r="AT6" s="34">
        <f>IFERROR(SUMPRODUCT((AW47:AW56&lt;&gt;"")*(AT47:AT56=TRUE))/SUMPRODUCT((AW47:AW56&lt;&gt;"")*1),0)</f>
        <v/>
      </c>
      <c r="AU6" s="35">
        <f>IF(AT6="","",REPT("█",ROUND(AT6*14,0))&amp;REPT("░",14-ROUND(AT6*14,0)))</f>
        <v/>
      </c>
      <c r="AV6" s="13" t="n"/>
      <c r="AW6" s="13" t="n"/>
      <c r="AX6" s="13" t="n"/>
      <c r="BA6" s="13">
        <f>IF(Settings!$B$37="","",Settings!$B$37)</f>
        <v/>
      </c>
      <c r="BB6" s="14" t="b">
        <v>0</v>
      </c>
      <c r="BC6" s="14" t="b">
        <v>0</v>
      </c>
      <c r="BD6" s="14" t="b">
        <v>0</v>
      </c>
      <c r="BE6" s="14" t="b">
        <v>0</v>
      </c>
      <c r="BF6" s="14" t="b">
        <v>0</v>
      </c>
      <c r="BG6" s="14" t="b">
        <v>0</v>
      </c>
      <c r="BH6" s="14" t="b">
        <v>0</v>
      </c>
      <c r="BI6" s="34">
        <f>IF($BA6="","",COUNTIF(BB6:BH6,TRUE)/7)</f>
        <v/>
      </c>
      <c r="BJ6" s="36">
        <f>IF(BI6="","",REPT("█",ROUND(BI6*10,0))&amp;REPT("░",10-ROUND(BI6*10,0)))</f>
        <v/>
      </c>
    </row>
    <row r="7">
      <c r="B7" s="33">
        <f>Calc!D4</f>
        <v/>
      </c>
      <c r="C7" s="33">
        <f>Calc!E4</f>
        <v/>
      </c>
      <c r="D7" s="33">
        <f>Calc!F4</f>
        <v/>
      </c>
      <c r="E7" s="33">
        <f>Calc!G4</f>
        <v/>
      </c>
      <c r="F7" s="33">
        <f>Calc!H4</f>
        <v/>
      </c>
      <c r="G7" s="33">
        <f>Calc!I4</f>
        <v/>
      </c>
      <c r="H7" s="33">
        <f>Calc!J4</f>
        <v/>
      </c>
      <c r="BA7" s="13">
        <f>IF(Settings!$B$38="","",Settings!$B$38)</f>
        <v/>
      </c>
      <c r="BB7" s="14" t="b">
        <v>0</v>
      </c>
      <c r="BC7" s="14" t="b">
        <v>0</v>
      </c>
      <c r="BD7" s="14" t="b">
        <v>0</v>
      </c>
      <c r="BE7" s="14" t="b">
        <v>0</v>
      </c>
      <c r="BF7" s="14" t="b">
        <v>0</v>
      </c>
      <c r="BG7" s="14" t="b">
        <v>0</v>
      </c>
      <c r="BH7" s="14" t="b">
        <v>0</v>
      </c>
      <c r="BI7" s="34">
        <f>IF($BA7="","",COUNTIF(BB7:BH7,TRUE)/7)</f>
        <v/>
      </c>
      <c r="BJ7" s="36">
        <f>IF(BI7="","",REPT("█",ROUND(BI7*10,0))&amp;REPT("░",10-ROUND(BI7*10,0)))</f>
        <v/>
      </c>
    </row>
    <row r="8">
      <c r="B8" s="33">
        <f>Calc!D5</f>
        <v/>
      </c>
      <c r="C8" s="33">
        <f>Calc!E5</f>
        <v/>
      </c>
      <c r="D8" s="33">
        <f>Calc!F5</f>
        <v/>
      </c>
      <c r="E8" s="33">
        <f>Calc!G5</f>
        <v/>
      </c>
      <c r="F8" s="33">
        <f>Calc!H5</f>
        <v/>
      </c>
      <c r="G8" s="33">
        <f>Calc!I5</f>
        <v/>
      </c>
      <c r="H8" s="33">
        <f>Calc!J5</f>
        <v/>
      </c>
      <c r="J8" s="6">
        <f>IF(Settings!$C$98="",Settings!$B$98,Settings!$C$98)</f>
        <v/>
      </c>
      <c r="K8" s="6" t="n"/>
      <c r="L8" s="6" t="n"/>
      <c r="M8" s="6" t="n"/>
      <c r="N8" s="6" t="n"/>
      <c r="P8" s="6">
        <f>IF(Settings!$C$98="",Settings!$B$98,Settings!$C$98)</f>
        <v/>
      </c>
      <c r="Q8" s="6" t="n"/>
      <c r="R8" s="6" t="n"/>
      <c r="S8" s="6" t="n"/>
      <c r="T8" s="6" t="n"/>
      <c r="V8" s="6">
        <f>IF(Settings!$C$98="",Settings!$B$98,Settings!$C$98)</f>
        <v/>
      </c>
      <c r="W8" s="6" t="n"/>
      <c r="X8" s="6" t="n"/>
      <c r="Y8" s="6" t="n"/>
      <c r="Z8" s="6" t="n"/>
      <c r="AB8" s="6">
        <f>IF(Settings!$C$98="",Settings!$B$98,Settings!$C$98)</f>
        <v/>
      </c>
      <c r="AC8" s="6" t="n"/>
      <c r="AD8" s="6" t="n"/>
      <c r="AE8" s="6" t="n"/>
      <c r="AF8" s="6" t="n"/>
      <c r="AH8" s="6">
        <f>IF(Settings!$C$98="",Settings!$B$98,Settings!$C$98)</f>
        <v/>
      </c>
      <c r="AI8" s="6" t="n"/>
      <c r="AJ8" s="6" t="n"/>
      <c r="AK8" s="6" t="n"/>
      <c r="AL8" s="6" t="n"/>
      <c r="AN8" s="6">
        <f>IF(Settings!$C$98="",Settings!$B$98,Settings!$C$98)</f>
        <v/>
      </c>
      <c r="AO8" s="6" t="n"/>
      <c r="AP8" s="6" t="n"/>
      <c r="AQ8" s="6" t="n"/>
      <c r="AR8" s="6" t="n"/>
      <c r="AT8" s="6">
        <f>IF(Settings!$C$98="",Settings!$B$98,Settings!$C$98)</f>
        <v/>
      </c>
      <c r="AU8" s="6" t="n"/>
      <c r="AV8" s="6" t="n"/>
      <c r="AW8" s="6" t="n"/>
      <c r="AX8" s="6" t="n"/>
      <c r="BA8" s="13">
        <f>IF(Settings!$B$39="","",Settings!$B$39)</f>
        <v/>
      </c>
      <c r="BB8" s="14" t="b">
        <v>0</v>
      </c>
      <c r="BC8" s="14" t="b">
        <v>0</v>
      </c>
      <c r="BD8" s="14" t="b">
        <v>0</v>
      </c>
      <c r="BE8" s="14" t="b">
        <v>0</v>
      </c>
      <c r="BF8" s="14" t="b">
        <v>0</v>
      </c>
      <c r="BG8" s="14" t="b">
        <v>0</v>
      </c>
      <c r="BH8" s="14" t="b">
        <v>0</v>
      </c>
      <c r="BI8" s="34">
        <f>IF($BA8="","",COUNTIF(BB8:BH8,TRUE)/7)</f>
        <v/>
      </c>
      <c r="BJ8" s="36">
        <f>IF(BI8="","",REPT("█",ROUND(BI8*10,0))&amp;REPT("░",10-ROUND(BI8*10,0)))</f>
        <v/>
      </c>
    </row>
    <row r="9">
      <c r="B9" s="33">
        <f>Calc!D6</f>
        <v/>
      </c>
      <c r="C9" s="33">
        <f>Calc!E6</f>
        <v/>
      </c>
      <c r="D9" s="33">
        <f>Calc!F6</f>
        <v/>
      </c>
      <c r="E9" s="33">
        <f>Calc!G6</f>
        <v/>
      </c>
      <c r="F9" s="33">
        <f>Calc!H6</f>
        <v/>
      </c>
      <c r="G9" s="33">
        <f>Calc!I6</f>
        <v/>
      </c>
      <c r="H9" s="33">
        <f>Calc!J6</f>
        <v/>
      </c>
      <c r="J9" s="37">
        <f>IF(0*Settings!$C$7&gt;=1440,"",MOD(ROUND((Settings!$C$6+0*Settings!$C$7/1440)*1440,0),1440)/1440)</f>
        <v/>
      </c>
      <c r="K9" s="8" t="n"/>
      <c r="L9" s="8" t="n"/>
      <c r="M9" s="8" t="n"/>
      <c r="N9" s="8" t="n"/>
      <c r="P9" s="37">
        <f>IF(0*Settings!$C$7&gt;=1440,"",MOD(ROUND((Settings!$C$6+0*Settings!$C$7/1440)*1440,0),1440)/1440)</f>
        <v/>
      </c>
      <c r="Q9" s="8" t="n"/>
      <c r="R9" s="8" t="n"/>
      <c r="S9" s="8" t="n"/>
      <c r="T9" s="8" t="n"/>
      <c r="V9" s="37">
        <f>IF(0*Settings!$C$7&gt;=1440,"",MOD(ROUND((Settings!$C$6+0*Settings!$C$7/1440)*1440,0),1440)/1440)</f>
        <v/>
      </c>
      <c r="W9" s="8" t="n"/>
      <c r="X9" s="8" t="n"/>
      <c r="Y9" s="8" t="n"/>
      <c r="Z9" s="8" t="n"/>
      <c r="AB9" s="37">
        <f>IF(0*Settings!$C$7&gt;=1440,"",MOD(ROUND((Settings!$C$6+0*Settings!$C$7/1440)*1440,0),1440)/1440)</f>
        <v/>
      </c>
      <c r="AC9" s="8" t="n"/>
      <c r="AD9" s="8" t="n"/>
      <c r="AE9" s="8" t="n"/>
      <c r="AF9" s="8" t="n"/>
      <c r="AH9" s="37">
        <f>IF(0*Settings!$C$7&gt;=1440,"",MOD(ROUND((Settings!$C$6+0*Settings!$C$7/1440)*1440,0),1440)/1440)</f>
        <v/>
      </c>
      <c r="AI9" s="8" t="n"/>
      <c r="AJ9" s="8" t="n"/>
      <c r="AK9" s="8" t="n"/>
      <c r="AL9" s="8" t="n"/>
      <c r="AN9" s="37">
        <f>IF(0*Settings!$C$7&gt;=1440,"",MOD(ROUND((Settings!$C$6+0*Settings!$C$7/1440)*1440,0),1440)/1440)</f>
        <v/>
      </c>
      <c r="AO9" s="8" t="n"/>
      <c r="AP9" s="8" t="n"/>
      <c r="AQ9" s="8" t="n"/>
      <c r="AR9" s="8" t="n"/>
      <c r="AT9" s="37">
        <f>IF(0*Settings!$C$7&gt;=1440,"",MOD(ROUND((Settings!$C$6+0*Settings!$C$7/1440)*1440,0),1440)/1440)</f>
        <v/>
      </c>
      <c r="AU9" s="8" t="n"/>
      <c r="AV9" s="8" t="n"/>
      <c r="AW9" s="8" t="n"/>
      <c r="AX9" s="8" t="n"/>
      <c r="BA9" s="13">
        <f>IF(Settings!$B$40="","",Settings!$B$40)</f>
        <v/>
      </c>
      <c r="BB9" s="14" t="b">
        <v>0</v>
      </c>
      <c r="BC9" s="14" t="b">
        <v>0</v>
      </c>
      <c r="BD9" s="14" t="b">
        <v>0</v>
      </c>
      <c r="BE9" s="14" t="b">
        <v>0</v>
      </c>
      <c r="BF9" s="14" t="b">
        <v>0</v>
      </c>
      <c r="BG9" s="14" t="b">
        <v>0</v>
      </c>
      <c r="BH9" s="14" t="b">
        <v>0</v>
      </c>
      <c r="BI9" s="34">
        <f>IF($BA9="","",COUNTIF(BB9:BH9,TRUE)/7)</f>
        <v/>
      </c>
      <c r="BJ9" s="36">
        <f>IF(BI9="","",REPT("█",ROUND(BI9*10,0))&amp;REPT("░",10-ROUND(BI9*10,0)))</f>
        <v/>
      </c>
    </row>
    <row r="10">
      <c r="B10" s="33">
        <f>Calc!D7</f>
        <v/>
      </c>
      <c r="C10" s="33">
        <f>Calc!E7</f>
        <v/>
      </c>
      <c r="D10" s="33">
        <f>Calc!F7</f>
        <v/>
      </c>
      <c r="E10" s="33">
        <f>Calc!G7</f>
        <v/>
      </c>
      <c r="F10" s="33">
        <f>Calc!H7</f>
        <v/>
      </c>
      <c r="G10" s="33">
        <f>Calc!I7</f>
        <v/>
      </c>
      <c r="H10" s="33">
        <f>Calc!J7</f>
        <v/>
      </c>
      <c r="J10" s="37">
        <f>IF(1*Settings!$C$7&gt;=1440,"",MOD(ROUND((Settings!$C$6+1*Settings!$C$7/1440)*1440,0),1440)/1440)</f>
        <v/>
      </c>
      <c r="K10" s="8" t="n"/>
      <c r="L10" s="8" t="n"/>
      <c r="M10" s="8" t="n"/>
      <c r="N10" s="8" t="n"/>
      <c r="P10" s="37">
        <f>IF(1*Settings!$C$7&gt;=1440,"",MOD(ROUND((Settings!$C$6+1*Settings!$C$7/1440)*1440,0),1440)/1440)</f>
        <v/>
      </c>
      <c r="Q10" s="8" t="n"/>
      <c r="R10" s="8" t="n"/>
      <c r="S10" s="8" t="n"/>
      <c r="T10" s="8" t="n"/>
      <c r="V10" s="37">
        <f>IF(1*Settings!$C$7&gt;=1440,"",MOD(ROUND((Settings!$C$6+1*Settings!$C$7/1440)*1440,0),1440)/1440)</f>
        <v/>
      </c>
      <c r="W10" s="8" t="n"/>
      <c r="X10" s="8" t="n"/>
      <c r="Y10" s="8" t="n"/>
      <c r="Z10" s="8" t="n"/>
      <c r="AB10" s="37">
        <f>IF(1*Settings!$C$7&gt;=1440,"",MOD(ROUND((Settings!$C$6+1*Settings!$C$7/1440)*1440,0),1440)/1440)</f>
        <v/>
      </c>
      <c r="AC10" s="8" t="n"/>
      <c r="AD10" s="8" t="n"/>
      <c r="AE10" s="8" t="n"/>
      <c r="AF10" s="8" t="n"/>
      <c r="AH10" s="37">
        <f>IF(1*Settings!$C$7&gt;=1440,"",MOD(ROUND((Settings!$C$6+1*Settings!$C$7/1440)*1440,0),1440)/1440)</f>
        <v/>
      </c>
      <c r="AI10" s="8" t="n"/>
      <c r="AJ10" s="8" t="n"/>
      <c r="AK10" s="8" t="n"/>
      <c r="AL10" s="8" t="n"/>
      <c r="AN10" s="37">
        <f>IF(1*Settings!$C$7&gt;=1440,"",MOD(ROUND((Settings!$C$6+1*Settings!$C$7/1440)*1440,0),1440)/1440)</f>
        <v/>
      </c>
      <c r="AO10" s="8" t="n"/>
      <c r="AP10" s="8" t="n"/>
      <c r="AQ10" s="8" t="n"/>
      <c r="AR10" s="8" t="n"/>
      <c r="AT10" s="37">
        <f>IF(1*Settings!$C$7&gt;=1440,"",MOD(ROUND((Settings!$C$6+1*Settings!$C$7/1440)*1440,0),1440)/1440)</f>
        <v/>
      </c>
      <c r="AU10" s="8" t="n"/>
      <c r="AV10" s="8" t="n"/>
      <c r="AW10" s="8" t="n"/>
      <c r="AX10" s="8" t="n"/>
      <c r="BA10" s="13">
        <f>IF(Settings!$B$41="","",Settings!$B$41)</f>
        <v/>
      </c>
      <c r="BB10" s="14" t="b">
        <v>0</v>
      </c>
      <c r="BC10" s="14" t="b">
        <v>0</v>
      </c>
      <c r="BD10" s="14" t="b">
        <v>0</v>
      </c>
      <c r="BE10" s="14" t="b">
        <v>0</v>
      </c>
      <c r="BF10" s="14" t="b">
        <v>0</v>
      </c>
      <c r="BG10" s="14" t="b">
        <v>0</v>
      </c>
      <c r="BH10" s="14" t="b">
        <v>0</v>
      </c>
      <c r="BI10" s="34">
        <f>IF($BA10="","",COUNTIF(BB10:BH10,TRUE)/7)</f>
        <v/>
      </c>
      <c r="BJ10" s="36">
        <f>IF(BI10="","",REPT("█",ROUND(BI10*10,0))&amp;REPT("░",10-ROUND(BI10*10,0)))</f>
        <v/>
      </c>
    </row>
    <row r="11">
      <c r="B11" s="33">
        <f>Calc!D8</f>
        <v/>
      </c>
      <c r="C11" s="33">
        <f>Calc!E8</f>
        <v/>
      </c>
      <c r="D11" s="33">
        <f>Calc!F8</f>
        <v/>
      </c>
      <c r="E11" s="33">
        <f>Calc!G8</f>
        <v/>
      </c>
      <c r="F11" s="33">
        <f>Calc!H8</f>
        <v/>
      </c>
      <c r="G11" s="33">
        <f>Calc!I8</f>
        <v/>
      </c>
      <c r="H11" s="33">
        <f>Calc!J8</f>
        <v/>
      </c>
      <c r="J11" s="37">
        <f>IF(2*Settings!$C$7&gt;=1440,"",MOD(ROUND((Settings!$C$6+2*Settings!$C$7/1440)*1440,0),1440)/1440)</f>
        <v/>
      </c>
      <c r="K11" s="8" t="n"/>
      <c r="L11" s="8" t="n"/>
      <c r="M11" s="8" t="n"/>
      <c r="N11" s="8" t="n"/>
      <c r="P11" s="37">
        <f>IF(2*Settings!$C$7&gt;=1440,"",MOD(ROUND((Settings!$C$6+2*Settings!$C$7/1440)*1440,0),1440)/1440)</f>
        <v/>
      </c>
      <c r="Q11" s="8" t="n"/>
      <c r="R11" s="8" t="n"/>
      <c r="S11" s="8" t="n"/>
      <c r="T11" s="8" t="n"/>
      <c r="V11" s="37">
        <f>IF(2*Settings!$C$7&gt;=1440,"",MOD(ROUND((Settings!$C$6+2*Settings!$C$7/1440)*1440,0),1440)/1440)</f>
        <v/>
      </c>
      <c r="W11" s="8" t="n"/>
      <c r="X11" s="8" t="n"/>
      <c r="Y11" s="8" t="n"/>
      <c r="Z11" s="8" t="n"/>
      <c r="AB11" s="37">
        <f>IF(2*Settings!$C$7&gt;=1440,"",MOD(ROUND((Settings!$C$6+2*Settings!$C$7/1440)*1440,0),1440)/1440)</f>
        <v/>
      </c>
      <c r="AC11" s="8" t="n"/>
      <c r="AD11" s="8" t="n"/>
      <c r="AE11" s="8" t="n"/>
      <c r="AF11" s="8" t="n"/>
      <c r="AH11" s="37">
        <f>IF(2*Settings!$C$7&gt;=1440,"",MOD(ROUND((Settings!$C$6+2*Settings!$C$7/1440)*1440,0),1440)/1440)</f>
        <v/>
      </c>
      <c r="AI11" s="8" t="n"/>
      <c r="AJ11" s="8" t="n"/>
      <c r="AK11" s="8" t="n"/>
      <c r="AL11" s="8" t="n"/>
      <c r="AN11" s="37">
        <f>IF(2*Settings!$C$7&gt;=1440,"",MOD(ROUND((Settings!$C$6+2*Settings!$C$7/1440)*1440,0),1440)/1440)</f>
        <v/>
      </c>
      <c r="AO11" s="8" t="n"/>
      <c r="AP11" s="8" t="n"/>
      <c r="AQ11" s="8" t="n"/>
      <c r="AR11" s="8" t="n"/>
      <c r="AT11" s="37">
        <f>IF(2*Settings!$C$7&gt;=1440,"",MOD(ROUND((Settings!$C$6+2*Settings!$C$7/1440)*1440,0),1440)/1440)</f>
        <v/>
      </c>
      <c r="AU11" s="8" t="n"/>
      <c r="AV11" s="8" t="n"/>
      <c r="AW11" s="8" t="n"/>
      <c r="AX11" s="8" t="n"/>
      <c r="BA11" s="13">
        <f>IF(Settings!$B$42="","",Settings!$B$42)</f>
        <v/>
      </c>
      <c r="BB11" s="14" t="b">
        <v>0</v>
      </c>
      <c r="BC11" s="14" t="b">
        <v>0</v>
      </c>
      <c r="BD11" s="14" t="b">
        <v>0</v>
      </c>
      <c r="BE11" s="14" t="b">
        <v>0</v>
      </c>
      <c r="BF11" s="14" t="b">
        <v>0</v>
      </c>
      <c r="BG11" s="14" t="b">
        <v>0</v>
      </c>
      <c r="BH11" s="14" t="b">
        <v>0</v>
      </c>
      <c r="BI11" s="34">
        <f>IF($BA11="","",COUNTIF(BB11:BH11,TRUE)/7)</f>
        <v/>
      </c>
      <c r="BJ11" s="36">
        <f>IF(BI11="","",REPT("█",ROUND(BI11*10,0))&amp;REPT("░",10-ROUND(BI11*10,0)))</f>
        <v/>
      </c>
    </row>
    <row r="12">
      <c r="J12" s="37">
        <f>IF(3*Settings!$C$7&gt;=1440,"",MOD(ROUND((Settings!$C$6+3*Settings!$C$7/1440)*1440,0),1440)/1440)</f>
        <v/>
      </c>
      <c r="K12" s="8" t="n"/>
      <c r="L12" s="8" t="n"/>
      <c r="M12" s="8" t="n"/>
      <c r="N12" s="8" t="n"/>
      <c r="P12" s="37">
        <f>IF(3*Settings!$C$7&gt;=1440,"",MOD(ROUND((Settings!$C$6+3*Settings!$C$7/1440)*1440,0),1440)/1440)</f>
        <v/>
      </c>
      <c r="Q12" s="8" t="n"/>
      <c r="R12" s="8" t="n"/>
      <c r="S12" s="8" t="n"/>
      <c r="T12" s="8" t="n"/>
      <c r="V12" s="37">
        <f>IF(3*Settings!$C$7&gt;=1440,"",MOD(ROUND((Settings!$C$6+3*Settings!$C$7/1440)*1440,0),1440)/1440)</f>
        <v/>
      </c>
      <c r="W12" s="8" t="n"/>
      <c r="X12" s="8" t="n"/>
      <c r="Y12" s="8" t="n"/>
      <c r="Z12" s="8" t="n"/>
      <c r="AB12" s="37">
        <f>IF(3*Settings!$C$7&gt;=1440,"",MOD(ROUND((Settings!$C$6+3*Settings!$C$7/1440)*1440,0),1440)/1440)</f>
        <v/>
      </c>
      <c r="AC12" s="8" t="n"/>
      <c r="AD12" s="8" t="n"/>
      <c r="AE12" s="8" t="n"/>
      <c r="AF12" s="8" t="n"/>
      <c r="AH12" s="37">
        <f>IF(3*Settings!$C$7&gt;=1440,"",MOD(ROUND((Settings!$C$6+3*Settings!$C$7/1440)*1440,0),1440)/1440)</f>
        <v/>
      </c>
      <c r="AI12" s="8" t="n"/>
      <c r="AJ12" s="8" t="n"/>
      <c r="AK12" s="8" t="n"/>
      <c r="AL12" s="8" t="n"/>
      <c r="AN12" s="37">
        <f>IF(3*Settings!$C$7&gt;=1440,"",MOD(ROUND((Settings!$C$6+3*Settings!$C$7/1440)*1440,0),1440)/1440)</f>
        <v/>
      </c>
      <c r="AO12" s="8" t="n"/>
      <c r="AP12" s="8" t="n"/>
      <c r="AQ12" s="8" t="n"/>
      <c r="AR12" s="8" t="n"/>
      <c r="AT12" s="37">
        <f>IF(3*Settings!$C$7&gt;=1440,"",MOD(ROUND((Settings!$C$6+3*Settings!$C$7/1440)*1440,0),1440)/1440)</f>
        <v/>
      </c>
      <c r="AU12" s="8" t="n"/>
      <c r="AV12" s="8" t="n"/>
      <c r="AW12" s="8" t="n"/>
      <c r="AX12" s="8" t="n"/>
      <c r="BA12" s="13">
        <f>IF(Settings!$B$43="","",Settings!$B$43)</f>
        <v/>
      </c>
      <c r="BB12" s="14" t="b">
        <v>0</v>
      </c>
      <c r="BC12" s="14" t="b">
        <v>0</v>
      </c>
      <c r="BD12" s="14" t="b">
        <v>0</v>
      </c>
      <c r="BE12" s="14" t="b">
        <v>0</v>
      </c>
      <c r="BF12" s="14" t="b">
        <v>0</v>
      </c>
      <c r="BG12" s="14" t="b">
        <v>0</v>
      </c>
      <c r="BH12" s="14" t="b">
        <v>0</v>
      </c>
      <c r="BI12" s="34">
        <f>IF($BA12="","",COUNTIF(BB12:BH12,TRUE)/7)</f>
        <v/>
      </c>
      <c r="BJ12" s="36">
        <f>IF(BI12="","",REPT("█",ROUND(BI12*10,0))&amp;REPT("░",10-ROUND(BI12*10,0)))</f>
        <v/>
      </c>
    </row>
    <row r="13">
      <c r="J13" s="37">
        <f>IF(4*Settings!$C$7&gt;=1440,"",MOD(ROUND((Settings!$C$6+4*Settings!$C$7/1440)*1440,0),1440)/1440)</f>
        <v/>
      </c>
      <c r="K13" s="8" t="n"/>
      <c r="L13" s="8" t="n"/>
      <c r="M13" s="8" t="n"/>
      <c r="N13" s="8" t="n"/>
      <c r="P13" s="37">
        <f>IF(4*Settings!$C$7&gt;=1440,"",MOD(ROUND((Settings!$C$6+4*Settings!$C$7/1440)*1440,0),1440)/1440)</f>
        <v/>
      </c>
      <c r="Q13" s="8" t="n"/>
      <c r="R13" s="8" t="n"/>
      <c r="S13" s="8" t="n"/>
      <c r="T13" s="8" t="n"/>
      <c r="V13" s="37">
        <f>IF(4*Settings!$C$7&gt;=1440,"",MOD(ROUND((Settings!$C$6+4*Settings!$C$7/1440)*1440,0),1440)/1440)</f>
        <v/>
      </c>
      <c r="W13" s="8" t="n"/>
      <c r="X13" s="8" t="n"/>
      <c r="Y13" s="8" t="n"/>
      <c r="Z13" s="8" t="n"/>
      <c r="AB13" s="37">
        <f>IF(4*Settings!$C$7&gt;=1440,"",MOD(ROUND((Settings!$C$6+4*Settings!$C$7/1440)*1440,0),1440)/1440)</f>
        <v/>
      </c>
      <c r="AC13" s="8" t="n"/>
      <c r="AD13" s="8" t="n"/>
      <c r="AE13" s="8" t="n"/>
      <c r="AF13" s="8" t="n"/>
      <c r="AH13" s="37">
        <f>IF(4*Settings!$C$7&gt;=1440,"",MOD(ROUND((Settings!$C$6+4*Settings!$C$7/1440)*1440,0),1440)/1440)</f>
        <v/>
      </c>
      <c r="AI13" s="8" t="n"/>
      <c r="AJ13" s="8" t="n"/>
      <c r="AK13" s="8" t="n"/>
      <c r="AL13" s="8" t="n"/>
      <c r="AN13" s="37">
        <f>IF(4*Settings!$C$7&gt;=1440,"",MOD(ROUND((Settings!$C$6+4*Settings!$C$7/1440)*1440,0),1440)/1440)</f>
        <v/>
      </c>
      <c r="AO13" s="8" t="n"/>
      <c r="AP13" s="8" t="n"/>
      <c r="AQ13" s="8" t="n"/>
      <c r="AR13" s="8" t="n"/>
      <c r="AT13" s="37">
        <f>IF(4*Settings!$C$7&gt;=1440,"",MOD(ROUND((Settings!$C$6+4*Settings!$C$7/1440)*1440,0),1440)/1440)</f>
        <v/>
      </c>
      <c r="AU13" s="8" t="n"/>
      <c r="AV13" s="8" t="n"/>
      <c r="AW13" s="8" t="n"/>
      <c r="AX13" s="8" t="n"/>
      <c r="BA13" s="13">
        <f>IF(Settings!$B$44="","",Settings!$B$44)</f>
        <v/>
      </c>
      <c r="BB13" s="14" t="b">
        <v>0</v>
      </c>
      <c r="BC13" s="14" t="b">
        <v>0</v>
      </c>
      <c r="BD13" s="14" t="b">
        <v>0</v>
      </c>
      <c r="BE13" s="14" t="b">
        <v>0</v>
      </c>
      <c r="BF13" s="14" t="b">
        <v>0</v>
      </c>
      <c r="BG13" s="14" t="b">
        <v>0</v>
      </c>
      <c r="BH13" s="14" t="b">
        <v>0</v>
      </c>
      <c r="BI13" s="34">
        <f>IF($BA13="","",COUNTIF(BB13:BH13,TRUE)/7)</f>
        <v/>
      </c>
      <c r="BJ13" s="36">
        <f>IF(BI13="","",REPT("█",ROUND(BI13*10,0))&amp;REPT("░",10-ROUND(BI13*10,0)))</f>
        <v/>
      </c>
    </row>
    <row r="14">
      <c r="B14" s="6">
        <f>IF(Settings!$C$102="",Settings!$B$102,Settings!$C$102)</f>
        <v/>
      </c>
      <c r="C14" s="6" t="n"/>
      <c r="D14" s="6" t="n"/>
      <c r="E14" s="6" t="n"/>
      <c r="F14" s="6" t="n"/>
      <c r="G14" s="6" t="n"/>
      <c r="H14" s="21">
        <f>IFERROR(SUMPRODUCT((C15:C19&lt;&gt;"")*(B15:B19=TRUE))/SUMPRODUCT((C15:C19&lt;&gt;"")*1),0)</f>
        <v/>
      </c>
      <c r="J14" s="37">
        <f>IF(5*Settings!$C$7&gt;=1440,"",MOD(ROUND((Settings!$C$6+5*Settings!$C$7/1440)*1440,0),1440)/1440)</f>
        <v/>
      </c>
      <c r="K14" s="8" t="n"/>
      <c r="L14" s="8" t="n"/>
      <c r="M14" s="8" t="n"/>
      <c r="N14" s="8" t="n"/>
      <c r="P14" s="37">
        <f>IF(5*Settings!$C$7&gt;=1440,"",MOD(ROUND((Settings!$C$6+5*Settings!$C$7/1440)*1440,0),1440)/1440)</f>
        <v/>
      </c>
      <c r="Q14" s="8" t="n"/>
      <c r="R14" s="8" t="n"/>
      <c r="S14" s="8" t="n"/>
      <c r="T14" s="8" t="n"/>
      <c r="V14" s="37">
        <f>IF(5*Settings!$C$7&gt;=1440,"",MOD(ROUND((Settings!$C$6+5*Settings!$C$7/1440)*1440,0),1440)/1440)</f>
        <v/>
      </c>
      <c r="W14" s="8" t="n"/>
      <c r="X14" s="8" t="n"/>
      <c r="Y14" s="8" t="n"/>
      <c r="Z14" s="8" t="n"/>
      <c r="AB14" s="37">
        <f>IF(5*Settings!$C$7&gt;=1440,"",MOD(ROUND((Settings!$C$6+5*Settings!$C$7/1440)*1440,0),1440)/1440)</f>
        <v/>
      </c>
      <c r="AC14" s="8" t="n"/>
      <c r="AD14" s="8" t="n"/>
      <c r="AE14" s="8" t="n"/>
      <c r="AF14" s="8" t="n"/>
      <c r="AH14" s="37">
        <f>IF(5*Settings!$C$7&gt;=1440,"",MOD(ROUND((Settings!$C$6+5*Settings!$C$7/1440)*1440,0),1440)/1440)</f>
        <v/>
      </c>
      <c r="AI14" s="8" t="n"/>
      <c r="AJ14" s="8" t="n"/>
      <c r="AK14" s="8" t="n"/>
      <c r="AL14" s="8" t="n"/>
      <c r="AN14" s="37">
        <f>IF(5*Settings!$C$7&gt;=1440,"",MOD(ROUND((Settings!$C$6+5*Settings!$C$7/1440)*1440,0),1440)/1440)</f>
        <v/>
      </c>
      <c r="AO14" s="8" t="n"/>
      <c r="AP14" s="8" t="n"/>
      <c r="AQ14" s="8" t="n"/>
      <c r="AR14" s="8" t="n"/>
      <c r="AT14" s="37">
        <f>IF(5*Settings!$C$7&gt;=1440,"",MOD(ROUND((Settings!$C$6+5*Settings!$C$7/1440)*1440,0),1440)/1440)</f>
        <v/>
      </c>
      <c r="AU14" s="8" t="n"/>
      <c r="AV14" s="8" t="n"/>
      <c r="AW14" s="8" t="n"/>
      <c r="AX14" s="8" t="n"/>
      <c r="BA14" s="13">
        <f>IF(Settings!$B$45="","",Settings!$B$45)</f>
        <v/>
      </c>
      <c r="BB14" s="14" t="b">
        <v>0</v>
      </c>
      <c r="BC14" s="14" t="b">
        <v>0</v>
      </c>
      <c r="BD14" s="14" t="b">
        <v>0</v>
      </c>
      <c r="BE14" s="14" t="b">
        <v>0</v>
      </c>
      <c r="BF14" s="14" t="b">
        <v>0</v>
      </c>
      <c r="BG14" s="14" t="b">
        <v>0</v>
      </c>
      <c r="BH14" s="14" t="b">
        <v>0</v>
      </c>
      <c r="BI14" s="34">
        <f>IF($BA14="","",COUNTIF(BB14:BH14,TRUE)/7)</f>
        <v/>
      </c>
      <c r="BJ14" s="36">
        <f>IF(BI14="","",REPT("█",ROUND(BI14*10,0))&amp;REPT("░",10-ROUND(BI14*10,0)))</f>
        <v/>
      </c>
    </row>
    <row r="15">
      <c r="B15" s="14" t="b">
        <v>0</v>
      </c>
      <c r="C15" s="8" t="n"/>
      <c r="D15" s="8" t="n"/>
      <c r="E15" s="8" t="n"/>
      <c r="F15" s="8" t="n"/>
      <c r="G15" s="8" t="n"/>
      <c r="H15" s="8" t="n"/>
      <c r="J15" s="37">
        <f>IF(6*Settings!$C$7&gt;=1440,"",MOD(ROUND((Settings!$C$6+6*Settings!$C$7/1440)*1440,0),1440)/1440)</f>
        <v/>
      </c>
      <c r="K15" s="8" t="n"/>
      <c r="L15" s="8" t="n"/>
      <c r="M15" s="8" t="n"/>
      <c r="N15" s="8" t="n"/>
      <c r="P15" s="37">
        <f>IF(6*Settings!$C$7&gt;=1440,"",MOD(ROUND((Settings!$C$6+6*Settings!$C$7/1440)*1440,0),1440)/1440)</f>
        <v/>
      </c>
      <c r="Q15" s="8" t="n"/>
      <c r="R15" s="8" t="n"/>
      <c r="S15" s="8" t="n"/>
      <c r="T15" s="8" t="n"/>
      <c r="V15" s="37">
        <f>IF(6*Settings!$C$7&gt;=1440,"",MOD(ROUND((Settings!$C$6+6*Settings!$C$7/1440)*1440,0),1440)/1440)</f>
        <v/>
      </c>
      <c r="W15" s="8" t="n"/>
      <c r="X15" s="8" t="n"/>
      <c r="Y15" s="8" t="n"/>
      <c r="Z15" s="8" t="n"/>
      <c r="AB15" s="37">
        <f>IF(6*Settings!$C$7&gt;=1440,"",MOD(ROUND((Settings!$C$6+6*Settings!$C$7/1440)*1440,0),1440)/1440)</f>
        <v/>
      </c>
      <c r="AC15" s="8" t="n"/>
      <c r="AD15" s="8" t="n"/>
      <c r="AE15" s="8" t="n"/>
      <c r="AF15" s="8" t="n"/>
      <c r="AH15" s="37">
        <f>IF(6*Settings!$C$7&gt;=1440,"",MOD(ROUND((Settings!$C$6+6*Settings!$C$7/1440)*1440,0),1440)/1440)</f>
        <v/>
      </c>
      <c r="AI15" s="8" t="n"/>
      <c r="AJ15" s="8" t="n"/>
      <c r="AK15" s="8" t="n"/>
      <c r="AL15" s="8" t="n"/>
      <c r="AN15" s="37">
        <f>IF(6*Settings!$C$7&gt;=1440,"",MOD(ROUND((Settings!$C$6+6*Settings!$C$7/1440)*1440,0),1440)/1440)</f>
        <v/>
      </c>
      <c r="AO15" s="8" t="n"/>
      <c r="AP15" s="8" t="n"/>
      <c r="AQ15" s="8" t="n"/>
      <c r="AR15" s="8" t="n"/>
      <c r="AT15" s="37">
        <f>IF(6*Settings!$C$7&gt;=1440,"",MOD(ROUND((Settings!$C$6+6*Settings!$C$7/1440)*1440,0),1440)/1440)</f>
        <v/>
      </c>
      <c r="AU15" s="8" t="n"/>
      <c r="AV15" s="8" t="n"/>
      <c r="AW15" s="8" t="n"/>
      <c r="AX15" s="8" t="n"/>
      <c r="BA15" s="13">
        <f>IF(Settings!$B$46="","",Settings!$B$46)</f>
        <v/>
      </c>
      <c r="BB15" s="14" t="b">
        <v>0</v>
      </c>
      <c r="BC15" s="14" t="b">
        <v>0</v>
      </c>
      <c r="BD15" s="14" t="b">
        <v>0</v>
      </c>
      <c r="BE15" s="14" t="b">
        <v>0</v>
      </c>
      <c r="BF15" s="14" t="b">
        <v>0</v>
      </c>
      <c r="BG15" s="14" t="b">
        <v>0</v>
      </c>
      <c r="BH15" s="14" t="b">
        <v>0</v>
      </c>
      <c r="BI15" s="34">
        <f>IF($BA15="","",COUNTIF(BB15:BH15,TRUE)/7)</f>
        <v/>
      </c>
      <c r="BJ15" s="36">
        <f>IF(BI15="","",REPT("█",ROUND(BI15*10,0))&amp;REPT("░",10-ROUND(BI15*10,0)))</f>
        <v/>
      </c>
    </row>
    <row r="16">
      <c r="B16" s="14" t="b">
        <v>0</v>
      </c>
      <c r="C16" s="8" t="n"/>
      <c r="D16" s="8" t="n"/>
      <c r="E16" s="8" t="n"/>
      <c r="F16" s="8" t="n"/>
      <c r="G16" s="8" t="n"/>
      <c r="H16" s="8" t="n"/>
      <c r="J16" s="37">
        <f>IF(7*Settings!$C$7&gt;=1440,"",MOD(ROUND((Settings!$C$6+7*Settings!$C$7/1440)*1440,0),1440)/1440)</f>
        <v/>
      </c>
      <c r="K16" s="8" t="n"/>
      <c r="L16" s="8" t="n"/>
      <c r="M16" s="8" t="n"/>
      <c r="N16" s="8" t="n"/>
      <c r="P16" s="37">
        <f>IF(7*Settings!$C$7&gt;=1440,"",MOD(ROUND((Settings!$C$6+7*Settings!$C$7/1440)*1440,0),1440)/1440)</f>
        <v/>
      </c>
      <c r="Q16" s="8" t="n"/>
      <c r="R16" s="8" t="n"/>
      <c r="S16" s="8" t="n"/>
      <c r="T16" s="8" t="n"/>
      <c r="V16" s="37">
        <f>IF(7*Settings!$C$7&gt;=1440,"",MOD(ROUND((Settings!$C$6+7*Settings!$C$7/1440)*1440,0),1440)/1440)</f>
        <v/>
      </c>
      <c r="W16" s="8" t="n"/>
      <c r="X16" s="8" t="n"/>
      <c r="Y16" s="8" t="n"/>
      <c r="Z16" s="8" t="n"/>
      <c r="AB16" s="37">
        <f>IF(7*Settings!$C$7&gt;=1440,"",MOD(ROUND((Settings!$C$6+7*Settings!$C$7/1440)*1440,0),1440)/1440)</f>
        <v/>
      </c>
      <c r="AC16" s="8" t="n"/>
      <c r="AD16" s="8" t="n"/>
      <c r="AE16" s="8" t="n"/>
      <c r="AF16" s="8" t="n"/>
      <c r="AH16" s="37">
        <f>IF(7*Settings!$C$7&gt;=1440,"",MOD(ROUND((Settings!$C$6+7*Settings!$C$7/1440)*1440,0),1440)/1440)</f>
        <v/>
      </c>
      <c r="AI16" s="8" t="n"/>
      <c r="AJ16" s="8" t="n"/>
      <c r="AK16" s="8" t="n"/>
      <c r="AL16" s="8" t="n"/>
      <c r="AN16" s="37">
        <f>IF(7*Settings!$C$7&gt;=1440,"",MOD(ROUND((Settings!$C$6+7*Settings!$C$7/1440)*1440,0),1440)/1440)</f>
        <v/>
      </c>
      <c r="AO16" s="8" t="n"/>
      <c r="AP16" s="8" t="n"/>
      <c r="AQ16" s="8" t="n"/>
      <c r="AR16" s="8" t="n"/>
      <c r="AT16" s="37">
        <f>IF(7*Settings!$C$7&gt;=1440,"",MOD(ROUND((Settings!$C$6+7*Settings!$C$7/1440)*1440,0),1440)/1440)</f>
        <v/>
      </c>
      <c r="AU16" s="8" t="n"/>
      <c r="AV16" s="8" t="n"/>
      <c r="AW16" s="8" t="n"/>
      <c r="AX16" s="8" t="n"/>
      <c r="BA16" s="13">
        <f>IF(Settings!$B$47="","",Settings!$B$47)</f>
        <v/>
      </c>
      <c r="BB16" s="14" t="b">
        <v>0</v>
      </c>
      <c r="BC16" s="14" t="b">
        <v>0</v>
      </c>
      <c r="BD16" s="14" t="b">
        <v>0</v>
      </c>
      <c r="BE16" s="14" t="b">
        <v>0</v>
      </c>
      <c r="BF16" s="14" t="b">
        <v>0</v>
      </c>
      <c r="BG16" s="14" t="b">
        <v>0</v>
      </c>
      <c r="BH16" s="14" t="b">
        <v>0</v>
      </c>
      <c r="BI16" s="34">
        <f>IF($BA16="","",COUNTIF(BB16:BH16,TRUE)/7)</f>
        <v/>
      </c>
      <c r="BJ16" s="36">
        <f>IF(BI16="","",REPT("█",ROUND(BI16*10,0))&amp;REPT("░",10-ROUND(BI16*10,0)))</f>
        <v/>
      </c>
    </row>
    <row r="17">
      <c r="B17" s="14" t="b">
        <v>0</v>
      </c>
      <c r="C17" s="8" t="n"/>
      <c r="D17" s="8" t="n"/>
      <c r="E17" s="8" t="n"/>
      <c r="F17" s="8" t="n"/>
      <c r="G17" s="8" t="n"/>
      <c r="H17" s="8" t="n"/>
      <c r="J17" s="37">
        <f>IF(8*Settings!$C$7&gt;=1440,"",MOD(ROUND((Settings!$C$6+8*Settings!$C$7/1440)*1440,0),1440)/1440)</f>
        <v/>
      </c>
      <c r="K17" s="8" t="n"/>
      <c r="L17" s="8" t="n"/>
      <c r="M17" s="8" t="n"/>
      <c r="N17" s="8" t="n"/>
      <c r="P17" s="37">
        <f>IF(8*Settings!$C$7&gt;=1440,"",MOD(ROUND((Settings!$C$6+8*Settings!$C$7/1440)*1440,0),1440)/1440)</f>
        <v/>
      </c>
      <c r="Q17" s="8" t="n"/>
      <c r="R17" s="8" t="n"/>
      <c r="S17" s="8" t="n"/>
      <c r="T17" s="8" t="n"/>
      <c r="V17" s="37">
        <f>IF(8*Settings!$C$7&gt;=1440,"",MOD(ROUND((Settings!$C$6+8*Settings!$C$7/1440)*1440,0),1440)/1440)</f>
        <v/>
      </c>
      <c r="W17" s="8" t="n"/>
      <c r="X17" s="8" t="n"/>
      <c r="Y17" s="8" t="n"/>
      <c r="Z17" s="8" t="n"/>
      <c r="AB17" s="37">
        <f>IF(8*Settings!$C$7&gt;=1440,"",MOD(ROUND((Settings!$C$6+8*Settings!$C$7/1440)*1440,0),1440)/1440)</f>
        <v/>
      </c>
      <c r="AC17" s="8" t="n"/>
      <c r="AD17" s="8" t="n"/>
      <c r="AE17" s="8" t="n"/>
      <c r="AF17" s="8" t="n"/>
      <c r="AH17" s="37">
        <f>IF(8*Settings!$C$7&gt;=1440,"",MOD(ROUND((Settings!$C$6+8*Settings!$C$7/1440)*1440,0),1440)/1440)</f>
        <v/>
      </c>
      <c r="AI17" s="8" t="n"/>
      <c r="AJ17" s="8" t="n"/>
      <c r="AK17" s="8" t="n"/>
      <c r="AL17" s="8" t="n"/>
      <c r="AN17" s="37">
        <f>IF(8*Settings!$C$7&gt;=1440,"",MOD(ROUND((Settings!$C$6+8*Settings!$C$7/1440)*1440,0),1440)/1440)</f>
        <v/>
      </c>
      <c r="AO17" s="8" t="n"/>
      <c r="AP17" s="8" t="n"/>
      <c r="AQ17" s="8" t="n"/>
      <c r="AR17" s="8" t="n"/>
      <c r="AT17" s="37">
        <f>IF(8*Settings!$C$7&gt;=1440,"",MOD(ROUND((Settings!$C$6+8*Settings!$C$7/1440)*1440,0),1440)/1440)</f>
        <v/>
      </c>
      <c r="AU17" s="8" t="n"/>
      <c r="AV17" s="8" t="n"/>
      <c r="AW17" s="8" t="n"/>
      <c r="AX17" s="8" t="n"/>
      <c r="BA17" s="13">
        <f>IF(Settings!$B$48="","",Settings!$B$48)</f>
        <v/>
      </c>
      <c r="BB17" s="14" t="b">
        <v>0</v>
      </c>
      <c r="BC17" s="14" t="b">
        <v>0</v>
      </c>
      <c r="BD17" s="14" t="b">
        <v>0</v>
      </c>
      <c r="BE17" s="14" t="b">
        <v>0</v>
      </c>
      <c r="BF17" s="14" t="b">
        <v>0</v>
      </c>
      <c r="BG17" s="14" t="b">
        <v>0</v>
      </c>
      <c r="BH17" s="14" t="b">
        <v>0</v>
      </c>
      <c r="BI17" s="34">
        <f>IF($BA17="","",COUNTIF(BB17:BH17,TRUE)/7)</f>
        <v/>
      </c>
      <c r="BJ17" s="36">
        <f>IF(BI17="","",REPT("█",ROUND(BI17*10,0))&amp;REPT("░",10-ROUND(BI17*10,0)))</f>
        <v/>
      </c>
    </row>
    <row r="18">
      <c r="B18" s="14" t="b">
        <v>0</v>
      </c>
      <c r="C18" s="8" t="n"/>
      <c r="D18" s="8" t="n"/>
      <c r="E18" s="8" t="n"/>
      <c r="F18" s="8" t="n"/>
      <c r="G18" s="8" t="n"/>
      <c r="H18" s="8" t="n"/>
      <c r="J18" s="37">
        <f>IF(9*Settings!$C$7&gt;=1440,"",MOD(ROUND((Settings!$C$6+9*Settings!$C$7/1440)*1440,0),1440)/1440)</f>
        <v/>
      </c>
      <c r="K18" s="8" t="n"/>
      <c r="L18" s="8" t="n"/>
      <c r="M18" s="8" t="n"/>
      <c r="N18" s="8" t="n"/>
      <c r="P18" s="37">
        <f>IF(9*Settings!$C$7&gt;=1440,"",MOD(ROUND((Settings!$C$6+9*Settings!$C$7/1440)*1440,0),1440)/1440)</f>
        <v/>
      </c>
      <c r="Q18" s="8" t="n"/>
      <c r="R18" s="8" t="n"/>
      <c r="S18" s="8" t="n"/>
      <c r="T18" s="8" t="n"/>
      <c r="V18" s="37">
        <f>IF(9*Settings!$C$7&gt;=1440,"",MOD(ROUND((Settings!$C$6+9*Settings!$C$7/1440)*1440,0),1440)/1440)</f>
        <v/>
      </c>
      <c r="W18" s="8" t="n"/>
      <c r="X18" s="8" t="n"/>
      <c r="Y18" s="8" t="n"/>
      <c r="Z18" s="8" t="n"/>
      <c r="AB18" s="37">
        <f>IF(9*Settings!$C$7&gt;=1440,"",MOD(ROUND((Settings!$C$6+9*Settings!$C$7/1440)*1440,0),1440)/1440)</f>
        <v/>
      </c>
      <c r="AC18" s="8" t="n"/>
      <c r="AD18" s="8" t="n"/>
      <c r="AE18" s="8" t="n"/>
      <c r="AF18" s="8" t="n"/>
      <c r="AH18" s="37">
        <f>IF(9*Settings!$C$7&gt;=1440,"",MOD(ROUND((Settings!$C$6+9*Settings!$C$7/1440)*1440,0),1440)/1440)</f>
        <v/>
      </c>
      <c r="AI18" s="8" t="n"/>
      <c r="AJ18" s="8" t="n"/>
      <c r="AK18" s="8" t="n"/>
      <c r="AL18" s="8" t="n"/>
      <c r="AN18" s="37">
        <f>IF(9*Settings!$C$7&gt;=1440,"",MOD(ROUND((Settings!$C$6+9*Settings!$C$7/1440)*1440,0),1440)/1440)</f>
        <v/>
      </c>
      <c r="AO18" s="8" t="n"/>
      <c r="AP18" s="8" t="n"/>
      <c r="AQ18" s="8" t="n"/>
      <c r="AR18" s="8" t="n"/>
      <c r="AT18" s="37">
        <f>IF(9*Settings!$C$7&gt;=1440,"",MOD(ROUND((Settings!$C$6+9*Settings!$C$7/1440)*1440,0),1440)/1440)</f>
        <v/>
      </c>
      <c r="AU18" s="8" t="n"/>
      <c r="AV18" s="8" t="n"/>
      <c r="AW18" s="8" t="n"/>
      <c r="AX18" s="8" t="n"/>
      <c r="BA18" s="13">
        <f>IF(Settings!$B$49="","",Settings!$B$49)</f>
        <v/>
      </c>
      <c r="BB18" s="14" t="b">
        <v>0</v>
      </c>
      <c r="BC18" s="14" t="b">
        <v>0</v>
      </c>
      <c r="BD18" s="14" t="b">
        <v>0</v>
      </c>
      <c r="BE18" s="14" t="b">
        <v>0</v>
      </c>
      <c r="BF18" s="14" t="b">
        <v>0</v>
      </c>
      <c r="BG18" s="14" t="b">
        <v>0</v>
      </c>
      <c r="BH18" s="14" t="b">
        <v>0</v>
      </c>
      <c r="BI18" s="34">
        <f>IF($BA18="","",COUNTIF(BB18:BH18,TRUE)/7)</f>
        <v/>
      </c>
      <c r="BJ18" s="36">
        <f>IF(BI18="","",REPT("█",ROUND(BI18*10,0))&amp;REPT("░",10-ROUND(BI18*10,0)))</f>
        <v/>
      </c>
    </row>
    <row r="19">
      <c r="B19" s="14" t="b">
        <v>0</v>
      </c>
      <c r="C19" s="8" t="n"/>
      <c r="D19" s="8" t="n"/>
      <c r="E19" s="8" t="n"/>
      <c r="F19" s="8" t="n"/>
      <c r="G19" s="8" t="n"/>
      <c r="H19" s="8" t="n"/>
      <c r="J19" s="37">
        <f>IF(10*Settings!$C$7&gt;=1440,"",MOD(ROUND((Settings!$C$6+10*Settings!$C$7/1440)*1440,0),1440)/1440)</f>
        <v/>
      </c>
      <c r="K19" s="8" t="n"/>
      <c r="L19" s="8" t="n"/>
      <c r="M19" s="8" t="n"/>
      <c r="N19" s="8" t="n"/>
      <c r="P19" s="37">
        <f>IF(10*Settings!$C$7&gt;=1440,"",MOD(ROUND((Settings!$C$6+10*Settings!$C$7/1440)*1440,0),1440)/1440)</f>
        <v/>
      </c>
      <c r="Q19" s="8" t="n"/>
      <c r="R19" s="8" t="n"/>
      <c r="S19" s="8" t="n"/>
      <c r="T19" s="8" t="n"/>
      <c r="V19" s="37">
        <f>IF(10*Settings!$C$7&gt;=1440,"",MOD(ROUND((Settings!$C$6+10*Settings!$C$7/1440)*1440,0),1440)/1440)</f>
        <v/>
      </c>
      <c r="W19" s="8" t="n"/>
      <c r="X19" s="8" t="n"/>
      <c r="Y19" s="8" t="n"/>
      <c r="Z19" s="8" t="n"/>
      <c r="AB19" s="37">
        <f>IF(10*Settings!$C$7&gt;=1440,"",MOD(ROUND((Settings!$C$6+10*Settings!$C$7/1440)*1440,0),1440)/1440)</f>
        <v/>
      </c>
      <c r="AC19" s="8" t="n"/>
      <c r="AD19" s="8" t="n"/>
      <c r="AE19" s="8" t="n"/>
      <c r="AF19" s="8" t="n"/>
      <c r="AH19" s="37">
        <f>IF(10*Settings!$C$7&gt;=1440,"",MOD(ROUND((Settings!$C$6+10*Settings!$C$7/1440)*1440,0),1440)/1440)</f>
        <v/>
      </c>
      <c r="AI19" s="8" t="n"/>
      <c r="AJ19" s="8" t="n"/>
      <c r="AK19" s="8" t="n"/>
      <c r="AL19" s="8" t="n"/>
      <c r="AN19" s="37">
        <f>IF(10*Settings!$C$7&gt;=1440,"",MOD(ROUND((Settings!$C$6+10*Settings!$C$7/1440)*1440,0),1440)/1440)</f>
        <v/>
      </c>
      <c r="AO19" s="8" t="n"/>
      <c r="AP19" s="8" t="n"/>
      <c r="AQ19" s="8" t="n"/>
      <c r="AR19" s="8" t="n"/>
      <c r="AT19" s="37">
        <f>IF(10*Settings!$C$7&gt;=1440,"",MOD(ROUND((Settings!$C$6+10*Settings!$C$7/1440)*1440,0),1440)/1440)</f>
        <v/>
      </c>
      <c r="AU19" s="8" t="n"/>
      <c r="AV19" s="8" t="n"/>
      <c r="AW19" s="8" t="n"/>
      <c r="AX19" s="8" t="n"/>
      <c r="BA19" s="13">
        <f>IF(Settings!$B$50="","",Settings!$B$50)</f>
        <v/>
      </c>
      <c r="BB19" s="14" t="b">
        <v>0</v>
      </c>
      <c r="BC19" s="14" t="b">
        <v>0</v>
      </c>
      <c r="BD19" s="14" t="b">
        <v>0</v>
      </c>
      <c r="BE19" s="14" t="b">
        <v>0</v>
      </c>
      <c r="BF19" s="14" t="b">
        <v>0</v>
      </c>
      <c r="BG19" s="14" t="b">
        <v>0</v>
      </c>
      <c r="BH19" s="14" t="b">
        <v>0</v>
      </c>
      <c r="BI19" s="34">
        <f>IF($BA19="","",COUNTIF(BB19:BH19,TRUE)/7)</f>
        <v/>
      </c>
      <c r="BJ19" s="36">
        <f>IF(BI19="","",REPT("█",ROUND(BI19*10,0))&amp;REPT("░",10-ROUND(BI19*10,0)))</f>
        <v/>
      </c>
    </row>
    <row r="20">
      <c r="J20" s="37">
        <f>IF(11*Settings!$C$7&gt;=1440,"",MOD(ROUND((Settings!$C$6+11*Settings!$C$7/1440)*1440,0),1440)/1440)</f>
        <v/>
      </c>
      <c r="K20" s="8" t="n"/>
      <c r="L20" s="8" t="n"/>
      <c r="M20" s="8" t="n"/>
      <c r="N20" s="8" t="n"/>
      <c r="P20" s="37">
        <f>IF(11*Settings!$C$7&gt;=1440,"",MOD(ROUND((Settings!$C$6+11*Settings!$C$7/1440)*1440,0),1440)/1440)</f>
        <v/>
      </c>
      <c r="Q20" s="8" t="n"/>
      <c r="R20" s="8" t="n"/>
      <c r="S20" s="8" t="n"/>
      <c r="T20" s="8" t="n"/>
      <c r="V20" s="37">
        <f>IF(11*Settings!$C$7&gt;=1440,"",MOD(ROUND((Settings!$C$6+11*Settings!$C$7/1440)*1440,0),1440)/1440)</f>
        <v/>
      </c>
      <c r="W20" s="8" t="n"/>
      <c r="X20" s="8" t="n"/>
      <c r="Y20" s="8" t="n"/>
      <c r="Z20" s="8" t="n"/>
      <c r="AB20" s="37">
        <f>IF(11*Settings!$C$7&gt;=1440,"",MOD(ROUND((Settings!$C$6+11*Settings!$C$7/1440)*1440,0),1440)/1440)</f>
        <v/>
      </c>
      <c r="AC20" s="8" t="n"/>
      <c r="AD20" s="8" t="n"/>
      <c r="AE20" s="8" t="n"/>
      <c r="AF20" s="8" t="n"/>
      <c r="AH20" s="37">
        <f>IF(11*Settings!$C$7&gt;=1440,"",MOD(ROUND((Settings!$C$6+11*Settings!$C$7/1440)*1440,0),1440)/1440)</f>
        <v/>
      </c>
      <c r="AI20" s="8" t="n"/>
      <c r="AJ20" s="8" t="n"/>
      <c r="AK20" s="8" t="n"/>
      <c r="AL20" s="8" t="n"/>
      <c r="AN20" s="37">
        <f>IF(11*Settings!$C$7&gt;=1440,"",MOD(ROUND((Settings!$C$6+11*Settings!$C$7/1440)*1440,0),1440)/1440)</f>
        <v/>
      </c>
      <c r="AO20" s="8" t="n"/>
      <c r="AP20" s="8" t="n"/>
      <c r="AQ20" s="8" t="n"/>
      <c r="AR20" s="8" t="n"/>
      <c r="AT20" s="37">
        <f>IF(11*Settings!$C$7&gt;=1440,"",MOD(ROUND((Settings!$C$6+11*Settings!$C$7/1440)*1440,0),1440)/1440)</f>
        <v/>
      </c>
      <c r="AU20" s="8" t="n"/>
      <c r="AV20" s="8" t="n"/>
      <c r="AW20" s="8" t="n"/>
      <c r="AX20" s="8" t="n"/>
      <c r="BA20" s="13">
        <f>IF(Settings!$B$51="","",Settings!$B$51)</f>
        <v/>
      </c>
      <c r="BB20" s="14" t="b">
        <v>0</v>
      </c>
      <c r="BC20" s="14" t="b">
        <v>0</v>
      </c>
      <c r="BD20" s="14" t="b">
        <v>0</v>
      </c>
      <c r="BE20" s="14" t="b">
        <v>0</v>
      </c>
      <c r="BF20" s="14" t="b">
        <v>0</v>
      </c>
      <c r="BG20" s="14" t="b">
        <v>0</v>
      </c>
      <c r="BH20" s="14" t="b">
        <v>0</v>
      </c>
      <c r="BI20" s="34">
        <f>IF($BA20="","",COUNTIF(BB20:BH20,TRUE)/7)</f>
        <v/>
      </c>
      <c r="BJ20" s="36">
        <f>IF(BI20="","",REPT("█",ROUND(BI20*10,0))&amp;REPT("░",10-ROUND(BI20*10,0)))</f>
        <v/>
      </c>
    </row>
    <row r="21">
      <c r="J21" s="37">
        <f>IF(12*Settings!$C$7&gt;=1440,"",MOD(ROUND((Settings!$C$6+12*Settings!$C$7/1440)*1440,0),1440)/1440)</f>
        <v/>
      </c>
      <c r="K21" s="8" t="n"/>
      <c r="L21" s="8" t="n"/>
      <c r="M21" s="8" t="n"/>
      <c r="N21" s="8" t="n"/>
      <c r="P21" s="37">
        <f>IF(12*Settings!$C$7&gt;=1440,"",MOD(ROUND((Settings!$C$6+12*Settings!$C$7/1440)*1440,0),1440)/1440)</f>
        <v/>
      </c>
      <c r="Q21" s="8" t="n"/>
      <c r="R21" s="8" t="n"/>
      <c r="S21" s="8" t="n"/>
      <c r="T21" s="8" t="n"/>
      <c r="V21" s="37">
        <f>IF(12*Settings!$C$7&gt;=1440,"",MOD(ROUND((Settings!$C$6+12*Settings!$C$7/1440)*1440,0),1440)/1440)</f>
        <v/>
      </c>
      <c r="W21" s="8" t="n"/>
      <c r="X21" s="8" t="n"/>
      <c r="Y21" s="8" t="n"/>
      <c r="Z21" s="8" t="n"/>
      <c r="AB21" s="37">
        <f>IF(12*Settings!$C$7&gt;=1440,"",MOD(ROUND((Settings!$C$6+12*Settings!$C$7/1440)*1440,0),1440)/1440)</f>
        <v/>
      </c>
      <c r="AC21" s="8" t="n"/>
      <c r="AD21" s="8" t="n"/>
      <c r="AE21" s="8" t="n"/>
      <c r="AF21" s="8" t="n"/>
      <c r="AH21" s="37">
        <f>IF(12*Settings!$C$7&gt;=1440,"",MOD(ROUND((Settings!$C$6+12*Settings!$C$7/1440)*1440,0),1440)/1440)</f>
        <v/>
      </c>
      <c r="AI21" s="8" t="n"/>
      <c r="AJ21" s="8" t="n"/>
      <c r="AK21" s="8" t="n"/>
      <c r="AL21" s="8" t="n"/>
      <c r="AN21" s="37">
        <f>IF(12*Settings!$C$7&gt;=1440,"",MOD(ROUND((Settings!$C$6+12*Settings!$C$7/1440)*1440,0),1440)/1440)</f>
        <v/>
      </c>
      <c r="AO21" s="8" t="n"/>
      <c r="AP21" s="8" t="n"/>
      <c r="AQ21" s="8" t="n"/>
      <c r="AR21" s="8" t="n"/>
      <c r="AT21" s="37">
        <f>IF(12*Settings!$C$7&gt;=1440,"",MOD(ROUND((Settings!$C$6+12*Settings!$C$7/1440)*1440,0),1440)/1440)</f>
        <v/>
      </c>
      <c r="AU21" s="8" t="n"/>
      <c r="AV21" s="8" t="n"/>
      <c r="AW21" s="8" t="n"/>
      <c r="AX21" s="8" t="n"/>
      <c r="BA21" s="13">
        <f>IF(Settings!$B$52="","",Settings!$B$52)</f>
        <v/>
      </c>
      <c r="BB21" s="14" t="b">
        <v>0</v>
      </c>
      <c r="BC21" s="14" t="b">
        <v>0</v>
      </c>
      <c r="BD21" s="14" t="b">
        <v>0</v>
      </c>
      <c r="BE21" s="14" t="b">
        <v>0</v>
      </c>
      <c r="BF21" s="14" t="b">
        <v>0</v>
      </c>
      <c r="BG21" s="14" t="b">
        <v>0</v>
      </c>
      <c r="BH21" s="14" t="b">
        <v>0</v>
      </c>
      <c r="BI21" s="34">
        <f>IF($BA21="","",COUNTIF(BB21:BH21,TRUE)/7)</f>
        <v/>
      </c>
      <c r="BJ21" s="36">
        <f>IF(BI21="","",REPT("█",ROUND(BI21*10,0))&amp;REPT("░",10-ROUND(BI21*10,0)))</f>
        <v/>
      </c>
    </row>
    <row r="22">
      <c r="B22" s="6">
        <f>IF(Settings!$C$103="",Settings!$B$103,Settings!$C$103)</f>
        <v/>
      </c>
      <c r="C22" s="6" t="n"/>
      <c r="D22" s="6" t="n"/>
      <c r="E22" s="6" t="n"/>
      <c r="F22" s="6" t="n"/>
      <c r="G22" s="6" t="n"/>
      <c r="H22" s="21">
        <f>IFERROR(SUMPRODUCT((C23:C27&lt;&gt;"")*(B23:B27=TRUE))/SUMPRODUCT((C23:C27&lt;&gt;"")*1),0)</f>
        <v/>
      </c>
      <c r="J22" s="37">
        <f>IF(13*Settings!$C$7&gt;=1440,"",MOD(ROUND((Settings!$C$6+13*Settings!$C$7/1440)*1440,0),1440)/1440)</f>
        <v/>
      </c>
      <c r="K22" s="8" t="n"/>
      <c r="L22" s="8" t="n"/>
      <c r="M22" s="8" t="n"/>
      <c r="N22" s="8" t="n"/>
      <c r="P22" s="37">
        <f>IF(13*Settings!$C$7&gt;=1440,"",MOD(ROUND((Settings!$C$6+13*Settings!$C$7/1440)*1440,0),1440)/1440)</f>
        <v/>
      </c>
      <c r="Q22" s="8" t="n"/>
      <c r="R22" s="8" t="n"/>
      <c r="S22" s="8" t="n"/>
      <c r="T22" s="8" t="n"/>
      <c r="V22" s="37">
        <f>IF(13*Settings!$C$7&gt;=1440,"",MOD(ROUND((Settings!$C$6+13*Settings!$C$7/1440)*1440,0),1440)/1440)</f>
        <v/>
      </c>
      <c r="W22" s="8" t="n"/>
      <c r="X22" s="8" t="n"/>
      <c r="Y22" s="8" t="n"/>
      <c r="Z22" s="8" t="n"/>
      <c r="AB22" s="37">
        <f>IF(13*Settings!$C$7&gt;=1440,"",MOD(ROUND((Settings!$C$6+13*Settings!$C$7/1440)*1440,0),1440)/1440)</f>
        <v/>
      </c>
      <c r="AC22" s="8" t="n"/>
      <c r="AD22" s="8" t="n"/>
      <c r="AE22" s="8" t="n"/>
      <c r="AF22" s="8" t="n"/>
      <c r="AH22" s="37">
        <f>IF(13*Settings!$C$7&gt;=1440,"",MOD(ROUND((Settings!$C$6+13*Settings!$C$7/1440)*1440,0),1440)/1440)</f>
        <v/>
      </c>
      <c r="AI22" s="8" t="n"/>
      <c r="AJ22" s="8" t="n"/>
      <c r="AK22" s="8" t="n"/>
      <c r="AL22" s="8" t="n"/>
      <c r="AN22" s="37">
        <f>IF(13*Settings!$C$7&gt;=1440,"",MOD(ROUND((Settings!$C$6+13*Settings!$C$7/1440)*1440,0),1440)/1440)</f>
        <v/>
      </c>
      <c r="AO22" s="8" t="n"/>
      <c r="AP22" s="8" t="n"/>
      <c r="AQ22" s="8" t="n"/>
      <c r="AR22" s="8" t="n"/>
      <c r="AT22" s="37">
        <f>IF(13*Settings!$C$7&gt;=1440,"",MOD(ROUND((Settings!$C$6+13*Settings!$C$7/1440)*1440,0),1440)/1440)</f>
        <v/>
      </c>
      <c r="AU22" s="8" t="n"/>
      <c r="AV22" s="8" t="n"/>
      <c r="AW22" s="8" t="n"/>
      <c r="AX22" s="8" t="n"/>
      <c r="BA22" s="13">
        <f>IF(Settings!$B$53="","",Settings!$B$53)</f>
        <v/>
      </c>
      <c r="BB22" s="14" t="b">
        <v>0</v>
      </c>
      <c r="BC22" s="14" t="b">
        <v>0</v>
      </c>
      <c r="BD22" s="14" t="b">
        <v>0</v>
      </c>
      <c r="BE22" s="14" t="b">
        <v>0</v>
      </c>
      <c r="BF22" s="14" t="b">
        <v>0</v>
      </c>
      <c r="BG22" s="14" t="b">
        <v>0</v>
      </c>
      <c r="BH22" s="14" t="b">
        <v>0</v>
      </c>
      <c r="BI22" s="34">
        <f>IF($BA22="","",COUNTIF(BB22:BH22,TRUE)/7)</f>
        <v/>
      </c>
      <c r="BJ22" s="36">
        <f>IF(BI22="","",REPT("█",ROUND(BI22*10,0))&amp;REPT("░",10-ROUND(BI22*10,0)))</f>
        <v/>
      </c>
    </row>
    <row r="23">
      <c r="B23" s="14" t="b">
        <v>0</v>
      </c>
      <c r="C23" s="8" t="n"/>
      <c r="D23" s="8" t="n"/>
      <c r="E23" s="8" t="n"/>
      <c r="F23" s="8" t="n"/>
      <c r="G23" s="8" t="n"/>
      <c r="H23" s="8" t="n"/>
      <c r="J23" s="37">
        <f>IF(14*Settings!$C$7&gt;=1440,"",MOD(ROUND((Settings!$C$6+14*Settings!$C$7/1440)*1440,0),1440)/1440)</f>
        <v/>
      </c>
      <c r="K23" s="8" t="n"/>
      <c r="L23" s="8" t="n"/>
      <c r="M23" s="8" t="n"/>
      <c r="N23" s="8" t="n"/>
      <c r="P23" s="37">
        <f>IF(14*Settings!$C$7&gt;=1440,"",MOD(ROUND((Settings!$C$6+14*Settings!$C$7/1440)*1440,0),1440)/1440)</f>
        <v/>
      </c>
      <c r="Q23" s="8" t="n"/>
      <c r="R23" s="8" t="n"/>
      <c r="S23" s="8" t="n"/>
      <c r="T23" s="8" t="n"/>
      <c r="V23" s="37">
        <f>IF(14*Settings!$C$7&gt;=1440,"",MOD(ROUND((Settings!$C$6+14*Settings!$C$7/1440)*1440,0),1440)/1440)</f>
        <v/>
      </c>
      <c r="W23" s="8" t="n"/>
      <c r="X23" s="8" t="n"/>
      <c r="Y23" s="8" t="n"/>
      <c r="Z23" s="8" t="n"/>
      <c r="AB23" s="37">
        <f>IF(14*Settings!$C$7&gt;=1440,"",MOD(ROUND((Settings!$C$6+14*Settings!$C$7/1440)*1440,0),1440)/1440)</f>
        <v/>
      </c>
      <c r="AC23" s="8" t="n"/>
      <c r="AD23" s="8" t="n"/>
      <c r="AE23" s="8" t="n"/>
      <c r="AF23" s="8" t="n"/>
      <c r="AH23" s="37">
        <f>IF(14*Settings!$C$7&gt;=1440,"",MOD(ROUND((Settings!$C$6+14*Settings!$C$7/1440)*1440,0),1440)/1440)</f>
        <v/>
      </c>
      <c r="AI23" s="8" t="n"/>
      <c r="AJ23" s="8" t="n"/>
      <c r="AK23" s="8" t="n"/>
      <c r="AL23" s="8" t="n"/>
      <c r="AN23" s="37">
        <f>IF(14*Settings!$C$7&gt;=1440,"",MOD(ROUND((Settings!$C$6+14*Settings!$C$7/1440)*1440,0),1440)/1440)</f>
        <v/>
      </c>
      <c r="AO23" s="8" t="n"/>
      <c r="AP23" s="8" t="n"/>
      <c r="AQ23" s="8" t="n"/>
      <c r="AR23" s="8" t="n"/>
      <c r="AT23" s="37">
        <f>IF(14*Settings!$C$7&gt;=1440,"",MOD(ROUND((Settings!$C$6+14*Settings!$C$7/1440)*1440,0),1440)/1440)</f>
        <v/>
      </c>
      <c r="AU23" s="8" t="n"/>
      <c r="AV23" s="8" t="n"/>
      <c r="AW23" s="8" t="n"/>
      <c r="AX23" s="8" t="n"/>
      <c r="BA23" s="13">
        <f>IF(Settings!$B$54="","",Settings!$B$54)</f>
        <v/>
      </c>
      <c r="BB23" s="14" t="b">
        <v>0</v>
      </c>
      <c r="BC23" s="14" t="b">
        <v>0</v>
      </c>
      <c r="BD23" s="14" t="b">
        <v>0</v>
      </c>
      <c r="BE23" s="14" t="b">
        <v>0</v>
      </c>
      <c r="BF23" s="14" t="b">
        <v>0</v>
      </c>
      <c r="BG23" s="14" t="b">
        <v>0</v>
      </c>
      <c r="BH23" s="14" t="b">
        <v>0</v>
      </c>
      <c r="BI23" s="34">
        <f>IF($BA23="","",COUNTIF(BB23:BH23,TRUE)/7)</f>
        <v/>
      </c>
      <c r="BJ23" s="36">
        <f>IF(BI23="","",REPT("█",ROUND(BI23*10,0))&amp;REPT("░",10-ROUND(BI23*10,0)))</f>
        <v/>
      </c>
    </row>
    <row r="24">
      <c r="B24" s="14" t="b">
        <v>0</v>
      </c>
      <c r="C24" s="8" t="n"/>
      <c r="D24" s="8" t="n"/>
      <c r="E24" s="8" t="n"/>
      <c r="F24" s="8" t="n"/>
      <c r="G24" s="8" t="n"/>
      <c r="H24" s="8" t="n"/>
      <c r="J24" s="37">
        <f>IF(15*Settings!$C$7&gt;=1440,"",MOD(ROUND((Settings!$C$6+15*Settings!$C$7/1440)*1440,0),1440)/1440)</f>
        <v/>
      </c>
      <c r="K24" s="8" t="n"/>
      <c r="L24" s="8" t="n"/>
      <c r="M24" s="8" t="n"/>
      <c r="N24" s="8" t="n"/>
      <c r="P24" s="37">
        <f>IF(15*Settings!$C$7&gt;=1440,"",MOD(ROUND((Settings!$C$6+15*Settings!$C$7/1440)*1440,0),1440)/1440)</f>
        <v/>
      </c>
      <c r="Q24" s="8" t="n"/>
      <c r="R24" s="8" t="n"/>
      <c r="S24" s="8" t="n"/>
      <c r="T24" s="8" t="n"/>
      <c r="V24" s="37">
        <f>IF(15*Settings!$C$7&gt;=1440,"",MOD(ROUND((Settings!$C$6+15*Settings!$C$7/1440)*1440,0),1440)/1440)</f>
        <v/>
      </c>
      <c r="W24" s="8" t="n"/>
      <c r="X24" s="8" t="n"/>
      <c r="Y24" s="8" t="n"/>
      <c r="Z24" s="8" t="n"/>
      <c r="AB24" s="37">
        <f>IF(15*Settings!$C$7&gt;=1440,"",MOD(ROUND((Settings!$C$6+15*Settings!$C$7/1440)*1440,0),1440)/1440)</f>
        <v/>
      </c>
      <c r="AC24" s="8" t="n"/>
      <c r="AD24" s="8" t="n"/>
      <c r="AE24" s="8" t="n"/>
      <c r="AF24" s="8" t="n"/>
      <c r="AH24" s="37">
        <f>IF(15*Settings!$C$7&gt;=1440,"",MOD(ROUND((Settings!$C$6+15*Settings!$C$7/1440)*1440,0),1440)/1440)</f>
        <v/>
      </c>
      <c r="AI24" s="8" t="n"/>
      <c r="AJ24" s="8" t="n"/>
      <c r="AK24" s="8" t="n"/>
      <c r="AL24" s="8" t="n"/>
      <c r="AN24" s="37">
        <f>IF(15*Settings!$C$7&gt;=1440,"",MOD(ROUND((Settings!$C$6+15*Settings!$C$7/1440)*1440,0),1440)/1440)</f>
        <v/>
      </c>
      <c r="AO24" s="8" t="n"/>
      <c r="AP24" s="8" t="n"/>
      <c r="AQ24" s="8" t="n"/>
      <c r="AR24" s="8" t="n"/>
      <c r="AT24" s="37">
        <f>IF(15*Settings!$C$7&gt;=1440,"",MOD(ROUND((Settings!$C$6+15*Settings!$C$7/1440)*1440,0),1440)/1440)</f>
        <v/>
      </c>
      <c r="AU24" s="8" t="n"/>
      <c r="AV24" s="8" t="n"/>
      <c r="AW24" s="8" t="n"/>
      <c r="AX24" s="8" t="n"/>
      <c r="BA24" s="13">
        <f>IF(Settings!$B$55="","",Settings!$B$55)</f>
        <v/>
      </c>
      <c r="BB24" s="14" t="b">
        <v>0</v>
      </c>
      <c r="BC24" s="14" t="b">
        <v>0</v>
      </c>
      <c r="BD24" s="14" t="b">
        <v>0</v>
      </c>
      <c r="BE24" s="14" t="b">
        <v>0</v>
      </c>
      <c r="BF24" s="14" t="b">
        <v>0</v>
      </c>
      <c r="BG24" s="14" t="b">
        <v>0</v>
      </c>
      <c r="BH24" s="14" t="b">
        <v>0</v>
      </c>
      <c r="BI24" s="34">
        <f>IF($BA24="","",COUNTIF(BB24:BH24,TRUE)/7)</f>
        <v/>
      </c>
      <c r="BJ24" s="36">
        <f>IF(BI24="","",REPT("█",ROUND(BI24*10,0))&amp;REPT("░",10-ROUND(BI24*10,0)))</f>
        <v/>
      </c>
    </row>
    <row r="25">
      <c r="B25" s="14" t="b">
        <v>0</v>
      </c>
      <c r="C25" s="8" t="n"/>
      <c r="D25" s="8" t="n"/>
      <c r="E25" s="8" t="n"/>
      <c r="F25" s="8" t="n"/>
      <c r="G25" s="8" t="n"/>
      <c r="H25" s="8" t="n"/>
      <c r="J25" s="37">
        <f>IF(16*Settings!$C$7&gt;=1440,"",MOD(ROUND((Settings!$C$6+16*Settings!$C$7/1440)*1440,0),1440)/1440)</f>
        <v/>
      </c>
      <c r="K25" s="8" t="n"/>
      <c r="L25" s="8" t="n"/>
      <c r="M25" s="8" t="n"/>
      <c r="N25" s="8" t="n"/>
      <c r="P25" s="37">
        <f>IF(16*Settings!$C$7&gt;=1440,"",MOD(ROUND((Settings!$C$6+16*Settings!$C$7/1440)*1440,0),1440)/1440)</f>
        <v/>
      </c>
      <c r="Q25" s="8" t="n"/>
      <c r="R25" s="8" t="n"/>
      <c r="S25" s="8" t="n"/>
      <c r="T25" s="8" t="n"/>
      <c r="V25" s="37">
        <f>IF(16*Settings!$C$7&gt;=1440,"",MOD(ROUND((Settings!$C$6+16*Settings!$C$7/1440)*1440,0),1440)/1440)</f>
        <v/>
      </c>
      <c r="W25" s="8" t="n"/>
      <c r="X25" s="8" t="n"/>
      <c r="Y25" s="8" t="n"/>
      <c r="Z25" s="8" t="n"/>
      <c r="AB25" s="37">
        <f>IF(16*Settings!$C$7&gt;=1440,"",MOD(ROUND((Settings!$C$6+16*Settings!$C$7/1440)*1440,0),1440)/1440)</f>
        <v/>
      </c>
      <c r="AC25" s="8" t="n"/>
      <c r="AD25" s="8" t="n"/>
      <c r="AE25" s="8" t="n"/>
      <c r="AF25" s="8" t="n"/>
      <c r="AH25" s="37">
        <f>IF(16*Settings!$C$7&gt;=1440,"",MOD(ROUND((Settings!$C$6+16*Settings!$C$7/1440)*1440,0),1440)/1440)</f>
        <v/>
      </c>
      <c r="AI25" s="8" t="n"/>
      <c r="AJ25" s="8" t="n"/>
      <c r="AK25" s="8" t="n"/>
      <c r="AL25" s="8" t="n"/>
      <c r="AN25" s="37">
        <f>IF(16*Settings!$C$7&gt;=1440,"",MOD(ROUND((Settings!$C$6+16*Settings!$C$7/1440)*1440,0),1440)/1440)</f>
        <v/>
      </c>
      <c r="AO25" s="8" t="n"/>
      <c r="AP25" s="8" t="n"/>
      <c r="AQ25" s="8" t="n"/>
      <c r="AR25" s="8" t="n"/>
      <c r="AT25" s="37">
        <f>IF(16*Settings!$C$7&gt;=1440,"",MOD(ROUND((Settings!$C$6+16*Settings!$C$7/1440)*1440,0),1440)/1440)</f>
        <v/>
      </c>
      <c r="AU25" s="8" t="n"/>
      <c r="AV25" s="8" t="n"/>
      <c r="AW25" s="8" t="n"/>
      <c r="AX25" s="8" t="n"/>
      <c r="BA25" s="13">
        <f>IF(Settings!$B$56="","",Settings!$B$56)</f>
        <v/>
      </c>
      <c r="BB25" s="14" t="b">
        <v>0</v>
      </c>
      <c r="BC25" s="14" t="b">
        <v>0</v>
      </c>
      <c r="BD25" s="14" t="b">
        <v>0</v>
      </c>
      <c r="BE25" s="14" t="b">
        <v>0</v>
      </c>
      <c r="BF25" s="14" t="b">
        <v>0</v>
      </c>
      <c r="BG25" s="14" t="b">
        <v>0</v>
      </c>
      <c r="BH25" s="14" t="b">
        <v>0</v>
      </c>
      <c r="BI25" s="34">
        <f>IF($BA25="","",COUNTIF(BB25:BH25,TRUE)/7)</f>
        <v/>
      </c>
      <c r="BJ25" s="36">
        <f>IF(BI25="","",REPT("█",ROUND(BI25*10,0))&amp;REPT("░",10-ROUND(BI25*10,0)))</f>
        <v/>
      </c>
    </row>
    <row r="26">
      <c r="B26" s="14" t="b">
        <v>0</v>
      </c>
      <c r="C26" s="8" t="n"/>
      <c r="D26" s="8" t="n"/>
      <c r="E26" s="8" t="n"/>
      <c r="F26" s="8" t="n"/>
      <c r="G26" s="8" t="n"/>
      <c r="H26" s="8" t="n"/>
      <c r="J26" s="37">
        <f>IF(17*Settings!$C$7&gt;=1440,"",MOD(ROUND((Settings!$C$6+17*Settings!$C$7/1440)*1440,0),1440)/1440)</f>
        <v/>
      </c>
      <c r="K26" s="8" t="n"/>
      <c r="L26" s="8" t="n"/>
      <c r="M26" s="8" t="n"/>
      <c r="N26" s="8" t="n"/>
      <c r="P26" s="37">
        <f>IF(17*Settings!$C$7&gt;=1440,"",MOD(ROUND((Settings!$C$6+17*Settings!$C$7/1440)*1440,0),1440)/1440)</f>
        <v/>
      </c>
      <c r="Q26" s="8" t="n"/>
      <c r="R26" s="8" t="n"/>
      <c r="S26" s="8" t="n"/>
      <c r="T26" s="8" t="n"/>
      <c r="V26" s="37">
        <f>IF(17*Settings!$C$7&gt;=1440,"",MOD(ROUND((Settings!$C$6+17*Settings!$C$7/1440)*1440,0),1440)/1440)</f>
        <v/>
      </c>
      <c r="W26" s="8" t="n"/>
      <c r="X26" s="8" t="n"/>
      <c r="Y26" s="8" t="n"/>
      <c r="Z26" s="8" t="n"/>
      <c r="AB26" s="37">
        <f>IF(17*Settings!$C$7&gt;=1440,"",MOD(ROUND((Settings!$C$6+17*Settings!$C$7/1440)*1440,0),1440)/1440)</f>
        <v/>
      </c>
      <c r="AC26" s="8" t="n"/>
      <c r="AD26" s="8" t="n"/>
      <c r="AE26" s="8" t="n"/>
      <c r="AF26" s="8" t="n"/>
      <c r="AH26" s="37">
        <f>IF(17*Settings!$C$7&gt;=1440,"",MOD(ROUND((Settings!$C$6+17*Settings!$C$7/1440)*1440,0),1440)/1440)</f>
        <v/>
      </c>
      <c r="AI26" s="8" t="n"/>
      <c r="AJ26" s="8" t="n"/>
      <c r="AK26" s="8" t="n"/>
      <c r="AL26" s="8" t="n"/>
      <c r="AN26" s="37">
        <f>IF(17*Settings!$C$7&gt;=1440,"",MOD(ROUND((Settings!$C$6+17*Settings!$C$7/1440)*1440,0),1440)/1440)</f>
        <v/>
      </c>
      <c r="AO26" s="8" t="n"/>
      <c r="AP26" s="8" t="n"/>
      <c r="AQ26" s="8" t="n"/>
      <c r="AR26" s="8" t="n"/>
      <c r="AT26" s="37">
        <f>IF(17*Settings!$C$7&gt;=1440,"",MOD(ROUND((Settings!$C$6+17*Settings!$C$7/1440)*1440,0),1440)/1440)</f>
        <v/>
      </c>
      <c r="AU26" s="8" t="n"/>
      <c r="AV26" s="8" t="n"/>
      <c r="AW26" s="8" t="n"/>
      <c r="AX26" s="8" t="n"/>
      <c r="BA26" s="13">
        <f>IF(Settings!$B$57="","",Settings!$B$57)</f>
        <v/>
      </c>
      <c r="BB26" s="14" t="b">
        <v>0</v>
      </c>
      <c r="BC26" s="14" t="b">
        <v>0</v>
      </c>
      <c r="BD26" s="14" t="b">
        <v>0</v>
      </c>
      <c r="BE26" s="14" t="b">
        <v>0</v>
      </c>
      <c r="BF26" s="14" t="b">
        <v>0</v>
      </c>
      <c r="BG26" s="14" t="b">
        <v>0</v>
      </c>
      <c r="BH26" s="14" t="b">
        <v>0</v>
      </c>
      <c r="BI26" s="34">
        <f>IF($BA26="","",COUNTIF(BB26:BH26,TRUE)/7)</f>
        <v/>
      </c>
      <c r="BJ26" s="36">
        <f>IF(BI26="","",REPT("█",ROUND(BI26*10,0))&amp;REPT("░",10-ROUND(BI26*10,0)))</f>
        <v/>
      </c>
    </row>
    <row r="27">
      <c r="B27" s="14" t="b">
        <v>0</v>
      </c>
      <c r="C27" s="8" t="n"/>
      <c r="D27" s="8" t="n"/>
      <c r="E27" s="8" t="n"/>
      <c r="F27" s="8" t="n"/>
      <c r="G27" s="8" t="n"/>
      <c r="H27" s="8" t="n"/>
      <c r="J27" s="37">
        <f>IF(18*Settings!$C$7&gt;=1440,"",MOD(ROUND((Settings!$C$6+18*Settings!$C$7/1440)*1440,0),1440)/1440)</f>
        <v/>
      </c>
      <c r="K27" s="8" t="n"/>
      <c r="L27" s="8" t="n"/>
      <c r="M27" s="8" t="n"/>
      <c r="N27" s="8" t="n"/>
      <c r="P27" s="37">
        <f>IF(18*Settings!$C$7&gt;=1440,"",MOD(ROUND((Settings!$C$6+18*Settings!$C$7/1440)*1440,0),1440)/1440)</f>
        <v/>
      </c>
      <c r="Q27" s="8" t="n"/>
      <c r="R27" s="8" t="n"/>
      <c r="S27" s="8" t="n"/>
      <c r="T27" s="8" t="n"/>
      <c r="V27" s="37">
        <f>IF(18*Settings!$C$7&gt;=1440,"",MOD(ROUND((Settings!$C$6+18*Settings!$C$7/1440)*1440,0),1440)/1440)</f>
        <v/>
      </c>
      <c r="W27" s="8" t="n"/>
      <c r="X27" s="8" t="n"/>
      <c r="Y27" s="8" t="n"/>
      <c r="Z27" s="8" t="n"/>
      <c r="AB27" s="37">
        <f>IF(18*Settings!$C$7&gt;=1440,"",MOD(ROUND((Settings!$C$6+18*Settings!$C$7/1440)*1440,0),1440)/1440)</f>
        <v/>
      </c>
      <c r="AC27" s="8" t="n"/>
      <c r="AD27" s="8" t="n"/>
      <c r="AE27" s="8" t="n"/>
      <c r="AF27" s="8" t="n"/>
      <c r="AH27" s="37">
        <f>IF(18*Settings!$C$7&gt;=1440,"",MOD(ROUND((Settings!$C$6+18*Settings!$C$7/1440)*1440,0),1440)/1440)</f>
        <v/>
      </c>
      <c r="AI27" s="8" t="n"/>
      <c r="AJ27" s="8" t="n"/>
      <c r="AK27" s="8" t="n"/>
      <c r="AL27" s="8" t="n"/>
      <c r="AN27" s="37">
        <f>IF(18*Settings!$C$7&gt;=1440,"",MOD(ROUND((Settings!$C$6+18*Settings!$C$7/1440)*1440,0),1440)/1440)</f>
        <v/>
      </c>
      <c r="AO27" s="8" t="n"/>
      <c r="AP27" s="8" t="n"/>
      <c r="AQ27" s="8" t="n"/>
      <c r="AR27" s="8" t="n"/>
      <c r="AT27" s="37">
        <f>IF(18*Settings!$C$7&gt;=1440,"",MOD(ROUND((Settings!$C$6+18*Settings!$C$7/1440)*1440,0),1440)/1440)</f>
        <v/>
      </c>
      <c r="AU27" s="8" t="n"/>
      <c r="AV27" s="8" t="n"/>
      <c r="AW27" s="8" t="n"/>
      <c r="AX27" s="8" t="n"/>
      <c r="BA27" s="38" t="inlineStr">
        <is>
          <t>Daily completion</t>
        </is>
      </c>
      <c r="BB27" s="34">
        <f>IFERROR(SUMPRODUCT(($BA$6:$BA$26&lt;&gt;"")*(BB$6:BB$26=TRUE))/SUMPRODUCT(($BA$6:$BA$26&lt;&gt;"")*1),0)</f>
        <v/>
      </c>
      <c r="BC27" s="34">
        <f>IFERROR(SUMPRODUCT(($BA$6:$BA$26&lt;&gt;"")*(BC$6:BC$26=TRUE))/SUMPRODUCT(($BA$6:$BA$26&lt;&gt;"")*1),0)</f>
        <v/>
      </c>
      <c r="BD27" s="34">
        <f>IFERROR(SUMPRODUCT(($BA$6:$BA$26&lt;&gt;"")*(BD$6:BD$26=TRUE))/SUMPRODUCT(($BA$6:$BA$26&lt;&gt;"")*1),0)</f>
        <v/>
      </c>
      <c r="BE27" s="34">
        <f>IFERROR(SUMPRODUCT(($BA$6:$BA$26&lt;&gt;"")*(BE$6:BE$26=TRUE))/SUMPRODUCT(($BA$6:$BA$26&lt;&gt;"")*1),0)</f>
        <v/>
      </c>
      <c r="BF27" s="34">
        <f>IFERROR(SUMPRODUCT(($BA$6:$BA$26&lt;&gt;"")*(BF$6:BF$26=TRUE))/SUMPRODUCT(($BA$6:$BA$26&lt;&gt;"")*1),0)</f>
        <v/>
      </c>
      <c r="BG27" s="34">
        <f>IFERROR(SUMPRODUCT(($BA$6:$BA$26&lt;&gt;"")*(BG$6:BG$26=TRUE))/SUMPRODUCT(($BA$6:$BA$26&lt;&gt;"")*1),0)</f>
        <v/>
      </c>
      <c r="BH27" s="34">
        <f>IFERROR(SUMPRODUCT(($BA$6:$BA$26&lt;&gt;"")*(BH$6:BH$26=TRUE))/SUMPRODUCT(($BA$6:$BA$26&lt;&gt;"")*1),0)</f>
        <v/>
      </c>
      <c r="BI27" s="34">
        <f>IFERROR(SUMPRODUCT(($BA$6:$BA$26&lt;&gt;"")*($BB$6:$BH$26=TRUE))/(SUMPRODUCT(($BA$6:$BA$26&lt;&gt;"")*1)*7),0)</f>
        <v/>
      </c>
      <c r="BJ27" s="36">
        <f>IF(BI27="","",REPT("█",ROUND(BI27*10,0))&amp;REPT("░",10-ROUND(BI27*10,0)))</f>
        <v/>
      </c>
    </row>
    <row r="28">
      <c r="J28" s="37">
        <f>IF(19*Settings!$C$7&gt;=1440,"",MOD(ROUND((Settings!$C$6+19*Settings!$C$7/1440)*1440,0),1440)/1440)</f>
        <v/>
      </c>
      <c r="K28" s="8" t="n"/>
      <c r="L28" s="8" t="n"/>
      <c r="M28" s="8" t="n"/>
      <c r="N28" s="8" t="n"/>
      <c r="P28" s="37">
        <f>IF(19*Settings!$C$7&gt;=1440,"",MOD(ROUND((Settings!$C$6+19*Settings!$C$7/1440)*1440,0),1440)/1440)</f>
        <v/>
      </c>
      <c r="Q28" s="8" t="n"/>
      <c r="R28" s="8" t="n"/>
      <c r="S28" s="8" t="n"/>
      <c r="T28" s="8" t="n"/>
      <c r="V28" s="37">
        <f>IF(19*Settings!$C$7&gt;=1440,"",MOD(ROUND((Settings!$C$6+19*Settings!$C$7/1440)*1440,0),1440)/1440)</f>
        <v/>
      </c>
      <c r="W28" s="8" t="n"/>
      <c r="X28" s="8" t="n"/>
      <c r="Y28" s="8" t="n"/>
      <c r="Z28" s="8" t="n"/>
      <c r="AB28" s="37">
        <f>IF(19*Settings!$C$7&gt;=1440,"",MOD(ROUND((Settings!$C$6+19*Settings!$C$7/1440)*1440,0),1440)/1440)</f>
        <v/>
      </c>
      <c r="AC28" s="8" t="n"/>
      <c r="AD28" s="8" t="n"/>
      <c r="AE28" s="8" t="n"/>
      <c r="AF28" s="8" t="n"/>
      <c r="AH28" s="37">
        <f>IF(19*Settings!$C$7&gt;=1440,"",MOD(ROUND((Settings!$C$6+19*Settings!$C$7/1440)*1440,0),1440)/1440)</f>
        <v/>
      </c>
      <c r="AI28" s="8" t="n"/>
      <c r="AJ28" s="8" t="n"/>
      <c r="AK28" s="8" t="n"/>
      <c r="AL28" s="8" t="n"/>
      <c r="AN28" s="37">
        <f>IF(19*Settings!$C$7&gt;=1440,"",MOD(ROUND((Settings!$C$6+19*Settings!$C$7/1440)*1440,0),1440)/1440)</f>
        <v/>
      </c>
      <c r="AO28" s="8" t="n"/>
      <c r="AP28" s="8" t="n"/>
      <c r="AQ28" s="8" t="n"/>
      <c r="AR28" s="8" t="n"/>
      <c r="AT28" s="37">
        <f>IF(19*Settings!$C$7&gt;=1440,"",MOD(ROUND((Settings!$C$6+19*Settings!$C$7/1440)*1440,0),1440)/1440)</f>
        <v/>
      </c>
      <c r="AU28" s="8" t="n"/>
      <c r="AV28" s="8" t="n"/>
      <c r="AW28" s="8" t="n"/>
      <c r="AX28" s="8" t="n"/>
    </row>
    <row r="29">
      <c r="J29" s="37">
        <f>IF(20*Settings!$C$7&gt;=1440,"",MOD(ROUND((Settings!$C$6+20*Settings!$C$7/1440)*1440,0),1440)/1440)</f>
        <v/>
      </c>
      <c r="K29" s="8" t="n"/>
      <c r="L29" s="8" t="n"/>
      <c r="M29" s="8" t="n"/>
      <c r="N29" s="8" t="n"/>
      <c r="P29" s="37">
        <f>IF(20*Settings!$C$7&gt;=1440,"",MOD(ROUND((Settings!$C$6+20*Settings!$C$7/1440)*1440,0),1440)/1440)</f>
        <v/>
      </c>
      <c r="Q29" s="8" t="n"/>
      <c r="R29" s="8" t="n"/>
      <c r="S29" s="8" t="n"/>
      <c r="T29" s="8" t="n"/>
      <c r="V29" s="37">
        <f>IF(20*Settings!$C$7&gt;=1440,"",MOD(ROUND((Settings!$C$6+20*Settings!$C$7/1440)*1440,0),1440)/1440)</f>
        <v/>
      </c>
      <c r="W29" s="8" t="n"/>
      <c r="X29" s="8" t="n"/>
      <c r="Y29" s="8" t="n"/>
      <c r="Z29" s="8" t="n"/>
      <c r="AB29" s="37">
        <f>IF(20*Settings!$C$7&gt;=1440,"",MOD(ROUND((Settings!$C$6+20*Settings!$C$7/1440)*1440,0),1440)/1440)</f>
        <v/>
      </c>
      <c r="AC29" s="8" t="n"/>
      <c r="AD29" s="8" t="n"/>
      <c r="AE29" s="8" t="n"/>
      <c r="AF29" s="8" t="n"/>
      <c r="AH29" s="37">
        <f>IF(20*Settings!$C$7&gt;=1440,"",MOD(ROUND((Settings!$C$6+20*Settings!$C$7/1440)*1440,0),1440)/1440)</f>
        <v/>
      </c>
      <c r="AI29" s="8" t="n"/>
      <c r="AJ29" s="8" t="n"/>
      <c r="AK29" s="8" t="n"/>
      <c r="AL29" s="8" t="n"/>
      <c r="AN29" s="37">
        <f>IF(20*Settings!$C$7&gt;=1440,"",MOD(ROUND((Settings!$C$6+20*Settings!$C$7/1440)*1440,0),1440)/1440)</f>
        <v/>
      </c>
      <c r="AO29" s="8" t="n"/>
      <c r="AP29" s="8" t="n"/>
      <c r="AQ29" s="8" t="n"/>
      <c r="AR29" s="8" t="n"/>
      <c r="AT29" s="37">
        <f>IF(20*Settings!$C$7&gt;=1440,"",MOD(ROUND((Settings!$C$6+20*Settings!$C$7/1440)*1440,0),1440)/1440)</f>
        <v/>
      </c>
      <c r="AU29" s="8" t="n"/>
      <c r="AV29" s="8" t="n"/>
      <c r="AW29" s="8" t="n"/>
      <c r="AX29" s="8" t="n"/>
    </row>
    <row r="30">
      <c r="J30" s="37">
        <f>IF(21*Settings!$C$7&gt;=1440,"",MOD(ROUND((Settings!$C$6+21*Settings!$C$7/1440)*1440,0),1440)/1440)</f>
        <v/>
      </c>
      <c r="K30" s="8" t="n"/>
      <c r="L30" s="8" t="n"/>
      <c r="M30" s="8" t="n"/>
      <c r="N30" s="8" t="n"/>
      <c r="P30" s="37">
        <f>IF(21*Settings!$C$7&gt;=1440,"",MOD(ROUND((Settings!$C$6+21*Settings!$C$7/1440)*1440,0),1440)/1440)</f>
        <v/>
      </c>
      <c r="Q30" s="8" t="n"/>
      <c r="R30" s="8" t="n"/>
      <c r="S30" s="8" t="n"/>
      <c r="T30" s="8" t="n"/>
      <c r="V30" s="37">
        <f>IF(21*Settings!$C$7&gt;=1440,"",MOD(ROUND((Settings!$C$6+21*Settings!$C$7/1440)*1440,0),1440)/1440)</f>
        <v/>
      </c>
      <c r="W30" s="8" t="n"/>
      <c r="X30" s="8" t="n"/>
      <c r="Y30" s="8" t="n"/>
      <c r="Z30" s="8" t="n"/>
      <c r="AB30" s="37">
        <f>IF(21*Settings!$C$7&gt;=1440,"",MOD(ROUND((Settings!$C$6+21*Settings!$C$7/1440)*1440,0),1440)/1440)</f>
        <v/>
      </c>
      <c r="AC30" s="8" t="n"/>
      <c r="AD30" s="8" t="n"/>
      <c r="AE30" s="8" t="n"/>
      <c r="AF30" s="8" t="n"/>
      <c r="AH30" s="37">
        <f>IF(21*Settings!$C$7&gt;=1440,"",MOD(ROUND((Settings!$C$6+21*Settings!$C$7/1440)*1440,0),1440)/1440)</f>
        <v/>
      </c>
      <c r="AI30" s="8" t="n"/>
      <c r="AJ30" s="8" t="n"/>
      <c r="AK30" s="8" t="n"/>
      <c r="AL30" s="8" t="n"/>
      <c r="AN30" s="37">
        <f>IF(21*Settings!$C$7&gt;=1440,"",MOD(ROUND((Settings!$C$6+21*Settings!$C$7/1440)*1440,0),1440)/1440)</f>
        <v/>
      </c>
      <c r="AO30" s="8" t="n"/>
      <c r="AP30" s="8" t="n"/>
      <c r="AQ30" s="8" t="n"/>
      <c r="AR30" s="8" t="n"/>
      <c r="AT30" s="37">
        <f>IF(21*Settings!$C$7&gt;=1440,"",MOD(ROUND((Settings!$C$6+21*Settings!$C$7/1440)*1440,0),1440)/1440)</f>
        <v/>
      </c>
      <c r="AU30" s="8" t="n"/>
      <c r="AV30" s="8" t="n"/>
      <c r="AW30" s="8" t="n"/>
      <c r="AX30" s="8" t="n"/>
      <c r="BA30" s="6">
        <f>IF(Settings!$C$101="",Settings!$B$101,Settings!$C$101)</f>
        <v/>
      </c>
      <c r="BB30" s="6" t="n"/>
      <c r="BC30" s="6" t="n"/>
      <c r="BD30" s="6" t="n"/>
      <c r="BE30" s="6" t="n"/>
      <c r="BF30" s="6" t="n"/>
      <c r="BG30" s="6" t="n"/>
      <c r="BH30" s="6" t="n"/>
      <c r="BI30" s="39" t="inlineStr">
        <is>
          <t>Avg</t>
        </is>
      </c>
      <c r="BJ30" s="39" t="inlineStr">
        <is>
          <t>Total</t>
        </is>
      </c>
    </row>
    <row r="31">
      <c r="J31" s="37">
        <f>IF(22*Settings!$C$7&gt;=1440,"",MOD(ROUND((Settings!$C$6+22*Settings!$C$7/1440)*1440,0),1440)/1440)</f>
        <v/>
      </c>
      <c r="K31" s="8" t="n"/>
      <c r="L31" s="8" t="n"/>
      <c r="M31" s="8" t="n"/>
      <c r="N31" s="8" t="n"/>
      <c r="P31" s="37">
        <f>IF(22*Settings!$C$7&gt;=1440,"",MOD(ROUND((Settings!$C$6+22*Settings!$C$7/1440)*1440,0),1440)/1440)</f>
        <v/>
      </c>
      <c r="Q31" s="8" t="n"/>
      <c r="R31" s="8" t="n"/>
      <c r="S31" s="8" t="n"/>
      <c r="T31" s="8" t="n"/>
      <c r="V31" s="37">
        <f>IF(22*Settings!$C$7&gt;=1440,"",MOD(ROUND((Settings!$C$6+22*Settings!$C$7/1440)*1440,0),1440)/1440)</f>
        <v/>
      </c>
      <c r="W31" s="8" t="n"/>
      <c r="X31" s="8" t="n"/>
      <c r="Y31" s="8" t="n"/>
      <c r="Z31" s="8" t="n"/>
      <c r="AB31" s="37">
        <f>IF(22*Settings!$C$7&gt;=1440,"",MOD(ROUND((Settings!$C$6+22*Settings!$C$7/1440)*1440,0),1440)/1440)</f>
        <v/>
      </c>
      <c r="AC31" s="8" t="n"/>
      <c r="AD31" s="8" t="n"/>
      <c r="AE31" s="8" t="n"/>
      <c r="AF31" s="8" t="n"/>
      <c r="AH31" s="37">
        <f>IF(22*Settings!$C$7&gt;=1440,"",MOD(ROUND((Settings!$C$6+22*Settings!$C$7/1440)*1440,0),1440)/1440)</f>
        <v/>
      </c>
      <c r="AI31" s="8" t="n"/>
      <c r="AJ31" s="8" t="n"/>
      <c r="AK31" s="8" t="n"/>
      <c r="AL31" s="8" t="n"/>
      <c r="AN31" s="37">
        <f>IF(22*Settings!$C$7&gt;=1440,"",MOD(ROUND((Settings!$C$6+22*Settings!$C$7/1440)*1440,0),1440)/1440)</f>
        <v/>
      </c>
      <c r="AO31" s="8" t="n"/>
      <c r="AP31" s="8" t="n"/>
      <c r="AQ31" s="8" t="n"/>
      <c r="AR31" s="8" t="n"/>
      <c r="AT31" s="37">
        <f>IF(22*Settings!$C$7&gt;=1440,"",MOD(ROUND((Settings!$C$6+22*Settings!$C$7/1440)*1440,0),1440)/1440)</f>
        <v/>
      </c>
      <c r="AU31" s="8" t="n"/>
      <c r="AV31" s="8" t="n"/>
      <c r="AW31" s="8" t="n"/>
      <c r="AX31" s="8" t="n"/>
      <c r="BA31" s="40">
        <f>Settings!$B$61&amp;IF(Settings!$C$61&lt;&gt;""," ("&amp;Settings!$C$61&amp;")","")</f>
        <v/>
      </c>
      <c r="BB31" s="14" t="n"/>
      <c r="BC31" s="14" t="n"/>
      <c r="BD31" s="14" t="n"/>
      <c r="BE31" s="14" t="n"/>
      <c r="BF31" s="14" t="n"/>
      <c r="BG31" s="14" t="n"/>
      <c r="BH31" s="14" t="n"/>
      <c r="BI31" s="41">
        <f>IFERROR(AVERAGE(BB31:BH31),0)</f>
        <v/>
      </c>
      <c r="BJ31" s="41">
        <f>SUM(BB31:BH31)</f>
        <v/>
      </c>
      <c r="BM31">
        <f>IF(BB31="","",IFERROR(MIN(1,MAX(0,(BB31-Settings!$D$61)/(Settings!$E$61-Settings!$D$61))),0))</f>
        <v/>
      </c>
      <c r="BN31">
        <f>IF(BC31="","",IFERROR(MIN(1,MAX(0,(BC31-Settings!$D$61)/(Settings!$E$61-Settings!$D$61))),0))</f>
        <v/>
      </c>
      <c r="BO31">
        <f>IF(BD31="","",IFERROR(MIN(1,MAX(0,(BD31-Settings!$D$61)/(Settings!$E$61-Settings!$D$61))),0))</f>
        <v/>
      </c>
      <c r="BP31">
        <f>IF(BE31="","",IFERROR(MIN(1,MAX(0,(BE31-Settings!$D$61)/(Settings!$E$61-Settings!$D$61))),0))</f>
        <v/>
      </c>
      <c r="BQ31">
        <f>IF(BF31="","",IFERROR(MIN(1,MAX(0,(BF31-Settings!$D$61)/(Settings!$E$61-Settings!$D$61))),0))</f>
        <v/>
      </c>
      <c r="BR31">
        <f>IF(BG31="","",IFERROR(MIN(1,MAX(0,(BG31-Settings!$D$61)/(Settings!$E$61-Settings!$D$61))),0))</f>
        <v/>
      </c>
      <c r="BS31">
        <f>IF(BH31="","",IFERROR(MIN(1,MAX(0,(BH31-Settings!$D$61)/(Settings!$E$61-Settings!$D$61))),0))</f>
        <v/>
      </c>
      <c r="BT31">
        <f>IFERROR(MIN(1,MAX(0,(BI31-Settings!$D$61)/(Settings!$E$61-Settings!$D$61))),0)</f>
        <v/>
      </c>
    </row>
    <row r="32">
      <c r="J32" s="37">
        <f>IF(23*Settings!$C$7&gt;=1440,"",MOD(ROUND((Settings!$C$6+23*Settings!$C$7/1440)*1440,0),1440)/1440)</f>
        <v/>
      </c>
      <c r="K32" s="8" t="n"/>
      <c r="L32" s="8" t="n"/>
      <c r="M32" s="8" t="n"/>
      <c r="N32" s="8" t="n"/>
      <c r="P32" s="37">
        <f>IF(23*Settings!$C$7&gt;=1440,"",MOD(ROUND((Settings!$C$6+23*Settings!$C$7/1440)*1440,0),1440)/1440)</f>
        <v/>
      </c>
      <c r="Q32" s="8" t="n"/>
      <c r="R32" s="8" t="n"/>
      <c r="S32" s="8" t="n"/>
      <c r="T32" s="8" t="n"/>
      <c r="V32" s="37">
        <f>IF(23*Settings!$C$7&gt;=1440,"",MOD(ROUND((Settings!$C$6+23*Settings!$C$7/1440)*1440,0),1440)/1440)</f>
        <v/>
      </c>
      <c r="W32" s="8" t="n"/>
      <c r="X32" s="8" t="n"/>
      <c r="Y32" s="8" t="n"/>
      <c r="Z32" s="8" t="n"/>
      <c r="AB32" s="37">
        <f>IF(23*Settings!$C$7&gt;=1440,"",MOD(ROUND((Settings!$C$6+23*Settings!$C$7/1440)*1440,0),1440)/1440)</f>
        <v/>
      </c>
      <c r="AC32" s="8" t="n"/>
      <c r="AD32" s="8" t="n"/>
      <c r="AE32" s="8" t="n"/>
      <c r="AF32" s="8" t="n"/>
      <c r="AH32" s="37">
        <f>IF(23*Settings!$C$7&gt;=1440,"",MOD(ROUND((Settings!$C$6+23*Settings!$C$7/1440)*1440,0),1440)/1440)</f>
        <v/>
      </c>
      <c r="AI32" s="8" t="n"/>
      <c r="AJ32" s="8" t="n"/>
      <c r="AK32" s="8" t="n"/>
      <c r="AL32" s="8" t="n"/>
      <c r="AN32" s="37">
        <f>IF(23*Settings!$C$7&gt;=1440,"",MOD(ROUND((Settings!$C$6+23*Settings!$C$7/1440)*1440,0),1440)/1440)</f>
        <v/>
      </c>
      <c r="AO32" s="8" t="n"/>
      <c r="AP32" s="8" t="n"/>
      <c r="AQ32" s="8" t="n"/>
      <c r="AR32" s="8" t="n"/>
      <c r="AT32" s="37">
        <f>IF(23*Settings!$C$7&gt;=1440,"",MOD(ROUND((Settings!$C$6+23*Settings!$C$7/1440)*1440,0),1440)/1440)</f>
        <v/>
      </c>
      <c r="AU32" s="8" t="n"/>
      <c r="AV32" s="8" t="n"/>
      <c r="AW32" s="8" t="n"/>
      <c r="AX32" s="8" t="n"/>
      <c r="BA32" s="42" t="inlineStr">
        <is>
          <t>progress</t>
        </is>
      </c>
      <c r="BB32" s="43">
        <f>IF(BM31="","",REPT("█",ROUND(BM31*5,0))&amp;REPT("░",5-ROUND(BM31*5,0)))</f>
        <v/>
      </c>
      <c r="BC32" s="43">
        <f>IF(BN31="","",REPT("█",ROUND(BN31*5,0))&amp;REPT("░",5-ROUND(BN31*5,0)))</f>
        <v/>
      </c>
      <c r="BD32" s="43">
        <f>IF(BO31="","",REPT("█",ROUND(BO31*5,0))&amp;REPT("░",5-ROUND(BO31*5,0)))</f>
        <v/>
      </c>
      <c r="BE32" s="43">
        <f>IF(BP31="","",REPT("█",ROUND(BP31*5,0))&amp;REPT("░",5-ROUND(BP31*5,0)))</f>
        <v/>
      </c>
      <c r="BF32" s="43">
        <f>IF(BQ31="","",REPT("█",ROUND(BQ31*5,0))&amp;REPT("░",5-ROUND(BQ31*5,0)))</f>
        <v/>
      </c>
      <c r="BG32" s="43">
        <f>IF(BR31="","",REPT("█",ROUND(BR31*5,0))&amp;REPT("░",5-ROUND(BR31*5,0)))</f>
        <v/>
      </c>
      <c r="BH32" s="43">
        <f>IF(BS31="","",REPT("█",ROUND(BS31*5,0))&amp;REPT("░",5-ROUND(BS31*5,0)))</f>
        <v/>
      </c>
      <c r="BI32" s="43">
        <f>IF(BT31="","",REPT("█",ROUND(BT31*5,0))&amp;REPT("░",5-ROUND(BT31*5,0)))</f>
        <v/>
      </c>
    </row>
    <row r="33">
      <c r="J33" s="37">
        <f>IF(24*Settings!$C$7&gt;=1440,"",MOD(ROUND((Settings!$C$6+24*Settings!$C$7/1440)*1440,0),1440)/1440)</f>
        <v/>
      </c>
      <c r="K33" s="8" t="n"/>
      <c r="L33" s="8" t="n"/>
      <c r="M33" s="8" t="n"/>
      <c r="N33" s="8" t="n"/>
      <c r="P33" s="37">
        <f>IF(24*Settings!$C$7&gt;=1440,"",MOD(ROUND((Settings!$C$6+24*Settings!$C$7/1440)*1440,0),1440)/1440)</f>
        <v/>
      </c>
      <c r="Q33" s="8" t="n"/>
      <c r="R33" s="8" t="n"/>
      <c r="S33" s="8" t="n"/>
      <c r="T33" s="8" t="n"/>
      <c r="V33" s="37">
        <f>IF(24*Settings!$C$7&gt;=1440,"",MOD(ROUND((Settings!$C$6+24*Settings!$C$7/1440)*1440,0),1440)/1440)</f>
        <v/>
      </c>
      <c r="W33" s="8" t="n"/>
      <c r="X33" s="8" t="n"/>
      <c r="Y33" s="8" t="n"/>
      <c r="Z33" s="8" t="n"/>
      <c r="AB33" s="37">
        <f>IF(24*Settings!$C$7&gt;=1440,"",MOD(ROUND((Settings!$C$6+24*Settings!$C$7/1440)*1440,0),1440)/1440)</f>
        <v/>
      </c>
      <c r="AC33" s="8" t="n"/>
      <c r="AD33" s="8" t="n"/>
      <c r="AE33" s="8" t="n"/>
      <c r="AF33" s="8" t="n"/>
      <c r="AH33" s="37">
        <f>IF(24*Settings!$C$7&gt;=1440,"",MOD(ROUND((Settings!$C$6+24*Settings!$C$7/1440)*1440,0),1440)/1440)</f>
        <v/>
      </c>
      <c r="AI33" s="8" t="n"/>
      <c r="AJ33" s="8" t="n"/>
      <c r="AK33" s="8" t="n"/>
      <c r="AL33" s="8" t="n"/>
      <c r="AN33" s="37">
        <f>IF(24*Settings!$C$7&gt;=1440,"",MOD(ROUND((Settings!$C$6+24*Settings!$C$7/1440)*1440,0),1440)/1440)</f>
        <v/>
      </c>
      <c r="AO33" s="8" t="n"/>
      <c r="AP33" s="8" t="n"/>
      <c r="AQ33" s="8" t="n"/>
      <c r="AR33" s="8" t="n"/>
      <c r="AT33" s="37">
        <f>IF(24*Settings!$C$7&gt;=1440,"",MOD(ROUND((Settings!$C$6+24*Settings!$C$7/1440)*1440,0),1440)/1440)</f>
        <v/>
      </c>
      <c r="AU33" s="8" t="n"/>
      <c r="AV33" s="8" t="n"/>
      <c r="AW33" s="8" t="n"/>
      <c r="AX33" s="8" t="n"/>
      <c r="BA33" s="40">
        <f>Settings!$B$62&amp;IF(Settings!$C$62&lt;&gt;""," ("&amp;Settings!$C$62&amp;")","")</f>
        <v/>
      </c>
      <c r="BB33" s="14" t="n"/>
      <c r="BC33" s="14" t="n"/>
      <c r="BD33" s="14" t="n"/>
      <c r="BE33" s="14" t="n"/>
      <c r="BF33" s="14" t="n"/>
      <c r="BG33" s="14" t="n"/>
      <c r="BH33" s="14" t="n"/>
      <c r="BI33" s="41">
        <f>IFERROR(AVERAGE(BB33:BH33),0)</f>
        <v/>
      </c>
      <c r="BJ33" s="41">
        <f>SUM(BB33:BH33)</f>
        <v/>
      </c>
      <c r="BM33">
        <f>IF(BB33="","",IFERROR(MIN(1,MAX(0,(BB33-Settings!$D$62)/(Settings!$E$62-Settings!$D$62))),0))</f>
        <v/>
      </c>
      <c r="BN33">
        <f>IF(BC33="","",IFERROR(MIN(1,MAX(0,(BC33-Settings!$D$62)/(Settings!$E$62-Settings!$D$62))),0))</f>
        <v/>
      </c>
      <c r="BO33">
        <f>IF(BD33="","",IFERROR(MIN(1,MAX(0,(BD33-Settings!$D$62)/(Settings!$E$62-Settings!$D$62))),0))</f>
        <v/>
      </c>
      <c r="BP33">
        <f>IF(BE33="","",IFERROR(MIN(1,MAX(0,(BE33-Settings!$D$62)/(Settings!$E$62-Settings!$D$62))),0))</f>
        <v/>
      </c>
      <c r="BQ33">
        <f>IF(BF33="","",IFERROR(MIN(1,MAX(0,(BF33-Settings!$D$62)/(Settings!$E$62-Settings!$D$62))),0))</f>
        <v/>
      </c>
      <c r="BR33">
        <f>IF(BG33="","",IFERROR(MIN(1,MAX(0,(BG33-Settings!$D$62)/(Settings!$E$62-Settings!$D$62))),0))</f>
        <v/>
      </c>
      <c r="BS33">
        <f>IF(BH33="","",IFERROR(MIN(1,MAX(0,(BH33-Settings!$D$62)/(Settings!$E$62-Settings!$D$62))),0))</f>
        <v/>
      </c>
      <c r="BT33">
        <f>IFERROR(MIN(1,MAX(0,(BI33-Settings!$D$62)/(Settings!$E$62-Settings!$D$62))),0)</f>
        <v/>
      </c>
    </row>
    <row r="34">
      <c r="J34" s="37">
        <f>IF(25*Settings!$C$7&gt;=1440,"",MOD(ROUND((Settings!$C$6+25*Settings!$C$7/1440)*1440,0),1440)/1440)</f>
        <v/>
      </c>
      <c r="K34" s="8" t="n"/>
      <c r="L34" s="8" t="n"/>
      <c r="M34" s="8" t="n"/>
      <c r="N34" s="8" t="n"/>
      <c r="P34" s="37">
        <f>IF(25*Settings!$C$7&gt;=1440,"",MOD(ROUND((Settings!$C$6+25*Settings!$C$7/1440)*1440,0),1440)/1440)</f>
        <v/>
      </c>
      <c r="Q34" s="8" t="n"/>
      <c r="R34" s="8" t="n"/>
      <c r="S34" s="8" t="n"/>
      <c r="T34" s="8" t="n"/>
      <c r="V34" s="37">
        <f>IF(25*Settings!$C$7&gt;=1440,"",MOD(ROUND((Settings!$C$6+25*Settings!$C$7/1440)*1440,0),1440)/1440)</f>
        <v/>
      </c>
      <c r="W34" s="8" t="n"/>
      <c r="X34" s="8" t="n"/>
      <c r="Y34" s="8" t="n"/>
      <c r="Z34" s="8" t="n"/>
      <c r="AB34" s="37">
        <f>IF(25*Settings!$C$7&gt;=1440,"",MOD(ROUND((Settings!$C$6+25*Settings!$C$7/1440)*1440,0),1440)/1440)</f>
        <v/>
      </c>
      <c r="AC34" s="8" t="n"/>
      <c r="AD34" s="8" t="n"/>
      <c r="AE34" s="8" t="n"/>
      <c r="AF34" s="8" t="n"/>
      <c r="AH34" s="37">
        <f>IF(25*Settings!$C$7&gt;=1440,"",MOD(ROUND((Settings!$C$6+25*Settings!$C$7/1440)*1440,0),1440)/1440)</f>
        <v/>
      </c>
      <c r="AI34" s="8" t="n"/>
      <c r="AJ34" s="8" t="n"/>
      <c r="AK34" s="8" t="n"/>
      <c r="AL34" s="8" t="n"/>
      <c r="AN34" s="37">
        <f>IF(25*Settings!$C$7&gt;=1440,"",MOD(ROUND((Settings!$C$6+25*Settings!$C$7/1440)*1440,0),1440)/1440)</f>
        <v/>
      </c>
      <c r="AO34" s="8" t="n"/>
      <c r="AP34" s="8" t="n"/>
      <c r="AQ34" s="8" t="n"/>
      <c r="AR34" s="8" t="n"/>
      <c r="AT34" s="37">
        <f>IF(25*Settings!$C$7&gt;=1440,"",MOD(ROUND((Settings!$C$6+25*Settings!$C$7/1440)*1440,0),1440)/1440)</f>
        <v/>
      </c>
      <c r="AU34" s="8" t="n"/>
      <c r="AV34" s="8" t="n"/>
      <c r="AW34" s="8" t="n"/>
      <c r="AX34" s="8" t="n"/>
      <c r="BA34" s="42" t="inlineStr">
        <is>
          <t>progress</t>
        </is>
      </c>
      <c r="BB34" s="43">
        <f>IF(BM33="","",REPT("█",ROUND(BM33*5,0))&amp;REPT("░",5-ROUND(BM33*5,0)))</f>
        <v/>
      </c>
      <c r="BC34" s="43">
        <f>IF(BN33="","",REPT("█",ROUND(BN33*5,0))&amp;REPT("░",5-ROUND(BN33*5,0)))</f>
        <v/>
      </c>
      <c r="BD34" s="43">
        <f>IF(BO33="","",REPT("█",ROUND(BO33*5,0))&amp;REPT("░",5-ROUND(BO33*5,0)))</f>
        <v/>
      </c>
      <c r="BE34" s="43">
        <f>IF(BP33="","",REPT("█",ROUND(BP33*5,0))&amp;REPT("░",5-ROUND(BP33*5,0)))</f>
        <v/>
      </c>
      <c r="BF34" s="43">
        <f>IF(BQ33="","",REPT("█",ROUND(BQ33*5,0))&amp;REPT("░",5-ROUND(BQ33*5,0)))</f>
        <v/>
      </c>
      <c r="BG34" s="43">
        <f>IF(BR33="","",REPT("█",ROUND(BR33*5,0))&amp;REPT("░",5-ROUND(BR33*5,0)))</f>
        <v/>
      </c>
      <c r="BH34" s="43">
        <f>IF(BS33="","",REPT("█",ROUND(BS33*5,0))&amp;REPT("░",5-ROUND(BS33*5,0)))</f>
        <v/>
      </c>
      <c r="BI34" s="43">
        <f>IF(BT33="","",REPT("█",ROUND(BT33*5,0))&amp;REPT("░",5-ROUND(BT33*5,0)))</f>
        <v/>
      </c>
    </row>
    <row r="35">
      <c r="J35" s="37">
        <f>IF(26*Settings!$C$7&gt;=1440,"",MOD(ROUND((Settings!$C$6+26*Settings!$C$7/1440)*1440,0),1440)/1440)</f>
        <v/>
      </c>
      <c r="K35" s="8" t="n"/>
      <c r="L35" s="8" t="n"/>
      <c r="M35" s="8" t="n"/>
      <c r="N35" s="8" t="n"/>
      <c r="P35" s="37">
        <f>IF(26*Settings!$C$7&gt;=1440,"",MOD(ROUND((Settings!$C$6+26*Settings!$C$7/1440)*1440,0),1440)/1440)</f>
        <v/>
      </c>
      <c r="Q35" s="8" t="n"/>
      <c r="R35" s="8" t="n"/>
      <c r="S35" s="8" t="n"/>
      <c r="T35" s="8" t="n"/>
      <c r="V35" s="37">
        <f>IF(26*Settings!$C$7&gt;=1440,"",MOD(ROUND((Settings!$C$6+26*Settings!$C$7/1440)*1440,0),1440)/1440)</f>
        <v/>
      </c>
      <c r="W35" s="8" t="n"/>
      <c r="X35" s="8" t="n"/>
      <c r="Y35" s="8" t="n"/>
      <c r="Z35" s="8" t="n"/>
      <c r="AB35" s="37">
        <f>IF(26*Settings!$C$7&gt;=1440,"",MOD(ROUND((Settings!$C$6+26*Settings!$C$7/1440)*1440,0),1440)/1440)</f>
        <v/>
      </c>
      <c r="AC35" s="8" t="n"/>
      <c r="AD35" s="8" t="n"/>
      <c r="AE35" s="8" t="n"/>
      <c r="AF35" s="8" t="n"/>
      <c r="AH35" s="37">
        <f>IF(26*Settings!$C$7&gt;=1440,"",MOD(ROUND((Settings!$C$6+26*Settings!$C$7/1440)*1440,0),1440)/1440)</f>
        <v/>
      </c>
      <c r="AI35" s="8" t="n"/>
      <c r="AJ35" s="8" t="n"/>
      <c r="AK35" s="8" t="n"/>
      <c r="AL35" s="8" t="n"/>
      <c r="AN35" s="37">
        <f>IF(26*Settings!$C$7&gt;=1440,"",MOD(ROUND((Settings!$C$6+26*Settings!$C$7/1440)*1440,0),1440)/1440)</f>
        <v/>
      </c>
      <c r="AO35" s="8" t="n"/>
      <c r="AP35" s="8" t="n"/>
      <c r="AQ35" s="8" t="n"/>
      <c r="AR35" s="8" t="n"/>
      <c r="AT35" s="37">
        <f>IF(26*Settings!$C$7&gt;=1440,"",MOD(ROUND((Settings!$C$6+26*Settings!$C$7/1440)*1440,0),1440)/1440)</f>
        <v/>
      </c>
      <c r="AU35" s="8" t="n"/>
      <c r="AV35" s="8" t="n"/>
      <c r="AW35" s="8" t="n"/>
      <c r="AX35" s="8" t="n"/>
      <c r="BA35" s="40">
        <f>Settings!$B$63&amp;IF(Settings!$C$63&lt;&gt;""," ("&amp;Settings!$C$63&amp;")","")</f>
        <v/>
      </c>
      <c r="BB35" s="14" t="n"/>
      <c r="BC35" s="14" t="n"/>
      <c r="BD35" s="14" t="n"/>
      <c r="BE35" s="14" t="n"/>
      <c r="BF35" s="14" t="n"/>
      <c r="BG35" s="14" t="n"/>
      <c r="BH35" s="14" t="n"/>
      <c r="BI35" s="41">
        <f>IFERROR(AVERAGE(BB35:BH35),0)</f>
        <v/>
      </c>
      <c r="BJ35" s="41">
        <f>SUM(BB35:BH35)</f>
        <v/>
      </c>
      <c r="BM35">
        <f>IF(BB35="","",IFERROR(MIN(1,MAX(0,(BB35-Settings!$D$63)/(Settings!$E$63-Settings!$D$63))),0))</f>
        <v/>
      </c>
      <c r="BN35">
        <f>IF(BC35="","",IFERROR(MIN(1,MAX(0,(BC35-Settings!$D$63)/(Settings!$E$63-Settings!$D$63))),0))</f>
        <v/>
      </c>
      <c r="BO35">
        <f>IF(BD35="","",IFERROR(MIN(1,MAX(0,(BD35-Settings!$D$63)/(Settings!$E$63-Settings!$D$63))),0))</f>
        <v/>
      </c>
      <c r="BP35">
        <f>IF(BE35="","",IFERROR(MIN(1,MAX(0,(BE35-Settings!$D$63)/(Settings!$E$63-Settings!$D$63))),0))</f>
        <v/>
      </c>
      <c r="BQ35">
        <f>IF(BF35="","",IFERROR(MIN(1,MAX(0,(BF35-Settings!$D$63)/(Settings!$E$63-Settings!$D$63))),0))</f>
        <v/>
      </c>
      <c r="BR35">
        <f>IF(BG35="","",IFERROR(MIN(1,MAX(0,(BG35-Settings!$D$63)/(Settings!$E$63-Settings!$D$63))),0))</f>
        <v/>
      </c>
      <c r="BS35">
        <f>IF(BH35="","",IFERROR(MIN(1,MAX(0,(BH35-Settings!$D$63)/(Settings!$E$63-Settings!$D$63))),0))</f>
        <v/>
      </c>
      <c r="BT35">
        <f>IFERROR(MIN(1,MAX(0,(BI35-Settings!$D$63)/(Settings!$E$63-Settings!$D$63))),0)</f>
        <v/>
      </c>
    </row>
    <row r="36">
      <c r="J36" s="37">
        <f>IF(27*Settings!$C$7&gt;=1440,"",MOD(ROUND((Settings!$C$6+27*Settings!$C$7/1440)*1440,0),1440)/1440)</f>
        <v/>
      </c>
      <c r="K36" s="8" t="n"/>
      <c r="L36" s="8" t="n"/>
      <c r="M36" s="8" t="n"/>
      <c r="N36" s="8" t="n"/>
      <c r="P36" s="37">
        <f>IF(27*Settings!$C$7&gt;=1440,"",MOD(ROUND((Settings!$C$6+27*Settings!$C$7/1440)*1440,0),1440)/1440)</f>
        <v/>
      </c>
      <c r="Q36" s="8" t="n"/>
      <c r="R36" s="8" t="n"/>
      <c r="S36" s="8" t="n"/>
      <c r="T36" s="8" t="n"/>
      <c r="V36" s="37">
        <f>IF(27*Settings!$C$7&gt;=1440,"",MOD(ROUND((Settings!$C$6+27*Settings!$C$7/1440)*1440,0),1440)/1440)</f>
        <v/>
      </c>
      <c r="W36" s="8" t="n"/>
      <c r="X36" s="8" t="n"/>
      <c r="Y36" s="8" t="n"/>
      <c r="Z36" s="8" t="n"/>
      <c r="AB36" s="37">
        <f>IF(27*Settings!$C$7&gt;=1440,"",MOD(ROUND((Settings!$C$6+27*Settings!$C$7/1440)*1440,0),1440)/1440)</f>
        <v/>
      </c>
      <c r="AC36" s="8" t="n"/>
      <c r="AD36" s="8" t="n"/>
      <c r="AE36" s="8" t="n"/>
      <c r="AF36" s="8" t="n"/>
      <c r="AH36" s="37">
        <f>IF(27*Settings!$C$7&gt;=1440,"",MOD(ROUND((Settings!$C$6+27*Settings!$C$7/1440)*1440,0),1440)/1440)</f>
        <v/>
      </c>
      <c r="AI36" s="8" t="n"/>
      <c r="AJ36" s="8" t="n"/>
      <c r="AK36" s="8" t="n"/>
      <c r="AL36" s="8" t="n"/>
      <c r="AN36" s="37">
        <f>IF(27*Settings!$C$7&gt;=1440,"",MOD(ROUND((Settings!$C$6+27*Settings!$C$7/1440)*1440,0),1440)/1440)</f>
        <v/>
      </c>
      <c r="AO36" s="8" t="n"/>
      <c r="AP36" s="8" t="n"/>
      <c r="AQ36" s="8" t="n"/>
      <c r="AR36" s="8" t="n"/>
      <c r="AT36" s="37">
        <f>IF(27*Settings!$C$7&gt;=1440,"",MOD(ROUND((Settings!$C$6+27*Settings!$C$7/1440)*1440,0),1440)/1440)</f>
        <v/>
      </c>
      <c r="AU36" s="8" t="n"/>
      <c r="AV36" s="8" t="n"/>
      <c r="AW36" s="8" t="n"/>
      <c r="AX36" s="8" t="n"/>
      <c r="BA36" s="42" t="inlineStr">
        <is>
          <t>progress</t>
        </is>
      </c>
      <c r="BB36" s="43">
        <f>IF(BM35="","",REPT("█",ROUND(BM35*5,0))&amp;REPT("░",5-ROUND(BM35*5,0)))</f>
        <v/>
      </c>
      <c r="BC36" s="43">
        <f>IF(BN35="","",REPT("█",ROUND(BN35*5,0))&amp;REPT("░",5-ROUND(BN35*5,0)))</f>
        <v/>
      </c>
      <c r="BD36" s="43">
        <f>IF(BO35="","",REPT("█",ROUND(BO35*5,0))&amp;REPT("░",5-ROUND(BO35*5,0)))</f>
        <v/>
      </c>
      <c r="BE36" s="43">
        <f>IF(BP35="","",REPT("█",ROUND(BP35*5,0))&amp;REPT("░",5-ROUND(BP35*5,0)))</f>
        <v/>
      </c>
      <c r="BF36" s="43">
        <f>IF(BQ35="","",REPT("█",ROUND(BQ35*5,0))&amp;REPT("░",5-ROUND(BQ35*5,0)))</f>
        <v/>
      </c>
      <c r="BG36" s="43">
        <f>IF(BR35="","",REPT("█",ROUND(BR35*5,0))&amp;REPT("░",5-ROUND(BR35*5,0)))</f>
        <v/>
      </c>
      <c r="BH36" s="43">
        <f>IF(BS35="","",REPT("█",ROUND(BS35*5,0))&amp;REPT("░",5-ROUND(BS35*5,0)))</f>
        <v/>
      </c>
      <c r="BI36" s="43">
        <f>IF(BT35="","",REPT("█",ROUND(BT35*5,0))&amp;REPT("░",5-ROUND(BT35*5,0)))</f>
        <v/>
      </c>
    </row>
    <row r="37">
      <c r="J37" s="37">
        <f>IF(28*Settings!$C$7&gt;=1440,"",MOD(ROUND((Settings!$C$6+28*Settings!$C$7/1440)*1440,0),1440)/1440)</f>
        <v/>
      </c>
      <c r="K37" s="8" t="n"/>
      <c r="L37" s="8" t="n"/>
      <c r="M37" s="8" t="n"/>
      <c r="N37" s="8" t="n"/>
      <c r="P37" s="37">
        <f>IF(28*Settings!$C$7&gt;=1440,"",MOD(ROUND((Settings!$C$6+28*Settings!$C$7/1440)*1440,0),1440)/1440)</f>
        <v/>
      </c>
      <c r="Q37" s="8" t="n"/>
      <c r="R37" s="8" t="n"/>
      <c r="S37" s="8" t="n"/>
      <c r="T37" s="8" t="n"/>
      <c r="V37" s="37">
        <f>IF(28*Settings!$C$7&gt;=1440,"",MOD(ROUND((Settings!$C$6+28*Settings!$C$7/1440)*1440,0),1440)/1440)</f>
        <v/>
      </c>
      <c r="W37" s="8" t="n"/>
      <c r="X37" s="8" t="n"/>
      <c r="Y37" s="8" t="n"/>
      <c r="Z37" s="8" t="n"/>
      <c r="AB37" s="37">
        <f>IF(28*Settings!$C$7&gt;=1440,"",MOD(ROUND((Settings!$C$6+28*Settings!$C$7/1440)*1440,0),1440)/1440)</f>
        <v/>
      </c>
      <c r="AC37" s="8" t="n"/>
      <c r="AD37" s="8" t="n"/>
      <c r="AE37" s="8" t="n"/>
      <c r="AF37" s="8" t="n"/>
      <c r="AH37" s="37">
        <f>IF(28*Settings!$C$7&gt;=1440,"",MOD(ROUND((Settings!$C$6+28*Settings!$C$7/1440)*1440,0),1440)/1440)</f>
        <v/>
      </c>
      <c r="AI37" s="8" t="n"/>
      <c r="AJ37" s="8" t="n"/>
      <c r="AK37" s="8" t="n"/>
      <c r="AL37" s="8" t="n"/>
      <c r="AN37" s="37">
        <f>IF(28*Settings!$C$7&gt;=1440,"",MOD(ROUND((Settings!$C$6+28*Settings!$C$7/1440)*1440,0),1440)/1440)</f>
        <v/>
      </c>
      <c r="AO37" s="8" t="n"/>
      <c r="AP37" s="8" t="n"/>
      <c r="AQ37" s="8" t="n"/>
      <c r="AR37" s="8" t="n"/>
      <c r="AT37" s="37">
        <f>IF(28*Settings!$C$7&gt;=1440,"",MOD(ROUND((Settings!$C$6+28*Settings!$C$7/1440)*1440,0),1440)/1440)</f>
        <v/>
      </c>
      <c r="AU37" s="8" t="n"/>
      <c r="AV37" s="8" t="n"/>
      <c r="AW37" s="8" t="n"/>
      <c r="AX37" s="8" t="n"/>
      <c r="BA37" s="40">
        <f>Settings!$B$64&amp;IF(Settings!$C$64&lt;&gt;""," ("&amp;Settings!$C$64&amp;")","")</f>
        <v/>
      </c>
      <c r="BB37" s="14" t="n"/>
      <c r="BC37" s="14" t="n"/>
      <c r="BD37" s="14" t="n"/>
      <c r="BE37" s="14" t="n"/>
      <c r="BF37" s="14" t="n"/>
      <c r="BG37" s="14" t="n"/>
      <c r="BH37" s="14" t="n"/>
      <c r="BI37" s="41">
        <f>IFERROR(AVERAGE(BB37:BH37),0)</f>
        <v/>
      </c>
      <c r="BJ37" s="41">
        <f>SUM(BB37:BH37)</f>
        <v/>
      </c>
      <c r="BM37">
        <f>IF(BB37="","",IFERROR(MIN(1,MAX(0,(BB37-Settings!$D$64)/(Settings!$E$64-Settings!$D$64))),0))</f>
        <v/>
      </c>
      <c r="BN37">
        <f>IF(BC37="","",IFERROR(MIN(1,MAX(0,(BC37-Settings!$D$64)/(Settings!$E$64-Settings!$D$64))),0))</f>
        <v/>
      </c>
      <c r="BO37">
        <f>IF(BD37="","",IFERROR(MIN(1,MAX(0,(BD37-Settings!$D$64)/(Settings!$E$64-Settings!$D$64))),0))</f>
        <v/>
      </c>
      <c r="BP37">
        <f>IF(BE37="","",IFERROR(MIN(1,MAX(0,(BE37-Settings!$D$64)/(Settings!$E$64-Settings!$D$64))),0))</f>
        <v/>
      </c>
      <c r="BQ37">
        <f>IF(BF37="","",IFERROR(MIN(1,MAX(0,(BF37-Settings!$D$64)/(Settings!$E$64-Settings!$D$64))),0))</f>
        <v/>
      </c>
      <c r="BR37">
        <f>IF(BG37="","",IFERROR(MIN(1,MAX(0,(BG37-Settings!$D$64)/(Settings!$E$64-Settings!$D$64))),0))</f>
        <v/>
      </c>
      <c r="BS37">
        <f>IF(BH37="","",IFERROR(MIN(1,MAX(0,(BH37-Settings!$D$64)/(Settings!$E$64-Settings!$D$64))),0))</f>
        <v/>
      </c>
      <c r="BT37">
        <f>IFERROR(MIN(1,MAX(0,(BI37-Settings!$D$64)/(Settings!$E$64-Settings!$D$64))),0)</f>
        <v/>
      </c>
    </row>
    <row r="38">
      <c r="J38" s="37">
        <f>IF(29*Settings!$C$7&gt;=1440,"",MOD(ROUND((Settings!$C$6+29*Settings!$C$7/1440)*1440,0),1440)/1440)</f>
        <v/>
      </c>
      <c r="K38" s="8" t="n"/>
      <c r="L38" s="8" t="n"/>
      <c r="M38" s="8" t="n"/>
      <c r="N38" s="8" t="n"/>
      <c r="P38" s="37">
        <f>IF(29*Settings!$C$7&gt;=1440,"",MOD(ROUND((Settings!$C$6+29*Settings!$C$7/1440)*1440,0),1440)/1440)</f>
        <v/>
      </c>
      <c r="Q38" s="8" t="n"/>
      <c r="R38" s="8" t="n"/>
      <c r="S38" s="8" t="n"/>
      <c r="T38" s="8" t="n"/>
      <c r="V38" s="37">
        <f>IF(29*Settings!$C$7&gt;=1440,"",MOD(ROUND((Settings!$C$6+29*Settings!$C$7/1440)*1440,0),1440)/1440)</f>
        <v/>
      </c>
      <c r="W38" s="8" t="n"/>
      <c r="X38" s="8" t="n"/>
      <c r="Y38" s="8" t="n"/>
      <c r="Z38" s="8" t="n"/>
      <c r="AB38" s="37">
        <f>IF(29*Settings!$C$7&gt;=1440,"",MOD(ROUND((Settings!$C$6+29*Settings!$C$7/1440)*1440,0),1440)/1440)</f>
        <v/>
      </c>
      <c r="AC38" s="8" t="n"/>
      <c r="AD38" s="8" t="n"/>
      <c r="AE38" s="8" t="n"/>
      <c r="AF38" s="8" t="n"/>
      <c r="AH38" s="37">
        <f>IF(29*Settings!$C$7&gt;=1440,"",MOD(ROUND((Settings!$C$6+29*Settings!$C$7/1440)*1440,0),1440)/1440)</f>
        <v/>
      </c>
      <c r="AI38" s="8" t="n"/>
      <c r="AJ38" s="8" t="n"/>
      <c r="AK38" s="8" t="n"/>
      <c r="AL38" s="8" t="n"/>
      <c r="AN38" s="37">
        <f>IF(29*Settings!$C$7&gt;=1440,"",MOD(ROUND((Settings!$C$6+29*Settings!$C$7/1440)*1440,0),1440)/1440)</f>
        <v/>
      </c>
      <c r="AO38" s="8" t="n"/>
      <c r="AP38" s="8" t="n"/>
      <c r="AQ38" s="8" t="n"/>
      <c r="AR38" s="8" t="n"/>
      <c r="AT38" s="37">
        <f>IF(29*Settings!$C$7&gt;=1440,"",MOD(ROUND((Settings!$C$6+29*Settings!$C$7/1440)*1440,0),1440)/1440)</f>
        <v/>
      </c>
      <c r="AU38" s="8" t="n"/>
      <c r="AV38" s="8" t="n"/>
      <c r="AW38" s="8" t="n"/>
      <c r="AX38" s="8" t="n"/>
      <c r="BA38" s="42" t="inlineStr">
        <is>
          <t>progress</t>
        </is>
      </c>
      <c r="BB38" s="43">
        <f>IF(BM37="","",REPT("█",ROUND(BM37*5,0))&amp;REPT("░",5-ROUND(BM37*5,0)))</f>
        <v/>
      </c>
      <c r="BC38" s="43">
        <f>IF(BN37="","",REPT("█",ROUND(BN37*5,0))&amp;REPT("░",5-ROUND(BN37*5,0)))</f>
        <v/>
      </c>
      <c r="BD38" s="43">
        <f>IF(BO37="","",REPT("█",ROUND(BO37*5,0))&amp;REPT("░",5-ROUND(BO37*5,0)))</f>
        <v/>
      </c>
      <c r="BE38" s="43">
        <f>IF(BP37="","",REPT("█",ROUND(BP37*5,0))&amp;REPT("░",5-ROUND(BP37*5,0)))</f>
        <v/>
      </c>
      <c r="BF38" s="43">
        <f>IF(BQ37="","",REPT("█",ROUND(BQ37*5,0))&amp;REPT("░",5-ROUND(BQ37*5,0)))</f>
        <v/>
      </c>
      <c r="BG38" s="43">
        <f>IF(BR37="","",REPT("█",ROUND(BR37*5,0))&amp;REPT("░",5-ROUND(BR37*5,0)))</f>
        <v/>
      </c>
      <c r="BH38" s="43">
        <f>IF(BS37="","",REPT("█",ROUND(BS37*5,0))&amp;REPT("░",5-ROUND(BS37*5,0)))</f>
        <v/>
      </c>
      <c r="BI38" s="43">
        <f>IF(BT37="","",REPT("█",ROUND(BT37*5,0))&amp;REPT("░",5-ROUND(BT37*5,0)))</f>
        <v/>
      </c>
    </row>
    <row r="39">
      <c r="J39" s="37">
        <f>IF(30*Settings!$C$7&gt;=1440,"",MOD(ROUND((Settings!$C$6+30*Settings!$C$7/1440)*1440,0),1440)/1440)</f>
        <v/>
      </c>
      <c r="K39" s="8" t="n"/>
      <c r="L39" s="8" t="n"/>
      <c r="M39" s="8" t="n"/>
      <c r="N39" s="8" t="n"/>
      <c r="P39" s="37">
        <f>IF(30*Settings!$C$7&gt;=1440,"",MOD(ROUND((Settings!$C$6+30*Settings!$C$7/1440)*1440,0),1440)/1440)</f>
        <v/>
      </c>
      <c r="Q39" s="8" t="n"/>
      <c r="R39" s="8" t="n"/>
      <c r="S39" s="8" t="n"/>
      <c r="T39" s="8" t="n"/>
      <c r="V39" s="37">
        <f>IF(30*Settings!$C$7&gt;=1440,"",MOD(ROUND((Settings!$C$6+30*Settings!$C$7/1440)*1440,0),1440)/1440)</f>
        <v/>
      </c>
      <c r="W39" s="8" t="n"/>
      <c r="X39" s="8" t="n"/>
      <c r="Y39" s="8" t="n"/>
      <c r="Z39" s="8" t="n"/>
      <c r="AB39" s="37">
        <f>IF(30*Settings!$C$7&gt;=1440,"",MOD(ROUND((Settings!$C$6+30*Settings!$C$7/1440)*1440,0),1440)/1440)</f>
        <v/>
      </c>
      <c r="AC39" s="8" t="n"/>
      <c r="AD39" s="8" t="n"/>
      <c r="AE39" s="8" t="n"/>
      <c r="AF39" s="8" t="n"/>
      <c r="AH39" s="37">
        <f>IF(30*Settings!$C$7&gt;=1440,"",MOD(ROUND((Settings!$C$6+30*Settings!$C$7/1440)*1440,0),1440)/1440)</f>
        <v/>
      </c>
      <c r="AI39" s="8" t="n"/>
      <c r="AJ39" s="8" t="n"/>
      <c r="AK39" s="8" t="n"/>
      <c r="AL39" s="8" t="n"/>
      <c r="AN39" s="37">
        <f>IF(30*Settings!$C$7&gt;=1440,"",MOD(ROUND((Settings!$C$6+30*Settings!$C$7/1440)*1440,0),1440)/1440)</f>
        <v/>
      </c>
      <c r="AO39" s="8" t="n"/>
      <c r="AP39" s="8" t="n"/>
      <c r="AQ39" s="8" t="n"/>
      <c r="AR39" s="8" t="n"/>
      <c r="AT39" s="37">
        <f>IF(30*Settings!$C$7&gt;=1440,"",MOD(ROUND((Settings!$C$6+30*Settings!$C$7/1440)*1440,0),1440)/1440)</f>
        <v/>
      </c>
      <c r="AU39" s="8" t="n"/>
      <c r="AV39" s="8" t="n"/>
      <c r="AW39" s="8" t="n"/>
      <c r="AX39" s="8" t="n"/>
      <c r="BA39" s="40">
        <f>Settings!$B$65&amp;IF(Settings!$C$65&lt;&gt;""," ("&amp;Settings!$C$65&amp;")","")</f>
        <v/>
      </c>
      <c r="BB39" s="14" t="n"/>
      <c r="BC39" s="14" t="n"/>
      <c r="BD39" s="14" t="n"/>
      <c r="BE39" s="14" t="n"/>
      <c r="BF39" s="14" t="n"/>
      <c r="BG39" s="14" t="n"/>
      <c r="BH39" s="14" t="n"/>
      <c r="BI39" s="41">
        <f>IFERROR(AVERAGE(BB39:BH39),0)</f>
        <v/>
      </c>
      <c r="BJ39" s="41">
        <f>SUM(BB39:BH39)</f>
        <v/>
      </c>
      <c r="BM39">
        <f>IF(BB39="","",IFERROR(MIN(1,MAX(0,(BB39-Settings!$D$65)/(Settings!$E$65-Settings!$D$65))),0))</f>
        <v/>
      </c>
      <c r="BN39">
        <f>IF(BC39="","",IFERROR(MIN(1,MAX(0,(BC39-Settings!$D$65)/(Settings!$E$65-Settings!$D$65))),0))</f>
        <v/>
      </c>
      <c r="BO39">
        <f>IF(BD39="","",IFERROR(MIN(1,MAX(0,(BD39-Settings!$D$65)/(Settings!$E$65-Settings!$D$65))),0))</f>
        <v/>
      </c>
      <c r="BP39">
        <f>IF(BE39="","",IFERROR(MIN(1,MAX(0,(BE39-Settings!$D$65)/(Settings!$E$65-Settings!$D$65))),0))</f>
        <v/>
      </c>
      <c r="BQ39">
        <f>IF(BF39="","",IFERROR(MIN(1,MAX(0,(BF39-Settings!$D$65)/(Settings!$E$65-Settings!$D$65))),0))</f>
        <v/>
      </c>
      <c r="BR39">
        <f>IF(BG39="","",IFERROR(MIN(1,MAX(0,(BG39-Settings!$D$65)/(Settings!$E$65-Settings!$D$65))),0))</f>
        <v/>
      </c>
      <c r="BS39">
        <f>IF(BH39="","",IFERROR(MIN(1,MAX(0,(BH39-Settings!$D$65)/(Settings!$E$65-Settings!$D$65))),0))</f>
        <v/>
      </c>
      <c r="BT39">
        <f>IFERROR(MIN(1,MAX(0,(BI39-Settings!$D$65)/(Settings!$E$65-Settings!$D$65))),0)</f>
        <v/>
      </c>
    </row>
    <row r="40">
      <c r="J40" s="37">
        <f>IF(31*Settings!$C$7&gt;=1440,"",MOD(ROUND((Settings!$C$6+31*Settings!$C$7/1440)*1440,0),1440)/1440)</f>
        <v/>
      </c>
      <c r="K40" s="8" t="n"/>
      <c r="L40" s="8" t="n"/>
      <c r="M40" s="8" t="n"/>
      <c r="N40" s="8" t="n"/>
      <c r="P40" s="37">
        <f>IF(31*Settings!$C$7&gt;=1440,"",MOD(ROUND((Settings!$C$6+31*Settings!$C$7/1440)*1440,0),1440)/1440)</f>
        <v/>
      </c>
      <c r="Q40" s="8" t="n"/>
      <c r="R40" s="8" t="n"/>
      <c r="S40" s="8" t="n"/>
      <c r="T40" s="8" t="n"/>
      <c r="V40" s="37">
        <f>IF(31*Settings!$C$7&gt;=1440,"",MOD(ROUND((Settings!$C$6+31*Settings!$C$7/1440)*1440,0),1440)/1440)</f>
        <v/>
      </c>
      <c r="W40" s="8" t="n"/>
      <c r="X40" s="8" t="n"/>
      <c r="Y40" s="8" t="n"/>
      <c r="Z40" s="8" t="n"/>
      <c r="AB40" s="37">
        <f>IF(31*Settings!$C$7&gt;=1440,"",MOD(ROUND((Settings!$C$6+31*Settings!$C$7/1440)*1440,0),1440)/1440)</f>
        <v/>
      </c>
      <c r="AC40" s="8" t="n"/>
      <c r="AD40" s="8" t="n"/>
      <c r="AE40" s="8" t="n"/>
      <c r="AF40" s="8" t="n"/>
      <c r="AH40" s="37">
        <f>IF(31*Settings!$C$7&gt;=1440,"",MOD(ROUND((Settings!$C$6+31*Settings!$C$7/1440)*1440,0),1440)/1440)</f>
        <v/>
      </c>
      <c r="AI40" s="8" t="n"/>
      <c r="AJ40" s="8" t="n"/>
      <c r="AK40" s="8" t="n"/>
      <c r="AL40" s="8" t="n"/>
      <c r="AN40" s="37">
        <f>IF(31*Settings!$C$7&gt;=1440,"",MOD(ROUND((Settings!$C$6+31*Settings!$C$7/1440)*1440,0),1440)/1440)</f>
        <v/>
      </c>
      <c r="AO40" s="8" t="n"/>
      <c r="AP40" s="8" t="n"/>
      <c r="AQ40" s="8" t="n"/>
      <c r="AR40" s="8" t="n"/>
      <c r="AT40" s="37">
        <f>IF(31*Settings!$C$7&gt;=1440,"",MOD(ROUND((Settings!$C$6+31*Settings!$C$7/1440)*1440,0),1440)/1440)</f>
        <v/>
      </c>
      <c r="AU40" s="8" t="n"/>
      <c r="AV40" s="8" t="n"/>
      <c r="AW40" s="8" t="n"/>
      <c r="AX40" s="8" t="n"/>
      <c r="BA40" s="42" t="inlineStr">
        <is>
          <t>progress</t>
        </is>
      </c>
      <c r="BB40" s="43">
        <f>IF(BM39="","",REPT("█",ROUND(BM39*5,0))&amp;REPT("░",5-ROUND(BM39*5,0)))</f>
        <v/>
      </c>
      <c r="BC40" s="43">
        <f>IF(BN39="","",REPT("█",ROUND(BN39*5,0))&amp;REPT("░",5-ROUND(BN39*5,0)))</f>
        <v/>
      </c>
      <c r="BD40" s="43">
        <f>IF(BO39="","",REPT("█",ROUND(BO39*5,0))&amp;REPT("░",5-ROUND(BO39*5,0)))</f>
        <v/>
      </c>
      <c r="BE40" s="43">
        <f>IF(BP39="","",REPT("█",ROUND(BP39*5,0))&amp;REPT("░",5-ROUND(BP39*5,0)))</f>
        <v/>
      </c>
      <c r="BF40" s="43">
        <f>IF(BQ39="","",REPT("█",ROUND(BQ39*5,0))&amp;REPT("░",5-ROUND(BQ39*5,0)))</f>
        <v/>
      </c>
      <c r="BG40" s="43">
        <f>IF(BR39="","",REPT("█",ROUND(BR39*5,0))&amp;REPT("░",5-ROUND(BR39*5,0)))</f>
        <v/>
      </c>
      <c r="BH40" s="43">
        <f>IF(BS39="","",REPT("█",ROUND(BS39*5,0))&amp;REPT("░",5-ROUND(BS39*5,0)))</f>
        <v/>
      </c>
      <c r="BI40" s="43">
        <f>IF(BT39="","",REPT("█",ROUND(BT39*5,0))&amp;REPT("░",5-ROUND(BT39*5,0)))</f>
        <v/>
      </c>
    </row>
    <row r="41">
      <c r="J41" s="37">
        <f>IF(32*Settings!$C$7&gt;=1440,"",MOD(ROUND((Settings!$C$6+32*Settings!$C$7/1440)*1440,0),1440)/1440)</f>
        <v/>
      </c>
      <c r="K41" s="8" t="n"/>
      <c r="L41" s="8" t="n"/>
      <c r="M41" s="8" t="n"/>
      <c r="N41" s="8" t="n"/>
      <c r="P41" s="37">
        <f>IF(32*Settings!$C$7&gt;=1440,"",MOD(ROUND((Settings!$C$6+32*Settings!$C$7/1440)*1440,0),1440)/1440)</f>
        <v/>
      </c>
      <c r="Q41" s="8" t="n"/>
      <c r="R41" s="8" t="n"/>
      <c r="S41" s="8" t="n"/>
      <c r="T41" s="8" t="n"/>
      <c r="V41" s="37">
        <f>IF(32*Settings!$C$7&gt;=1440,"",MOD(ROUND((Settings!$C$6+32*Settings!$C$7/1440)*1440,0),1440)/1440)</f>
        <v/>
      </c>
      <c r="W41" s="8" t="n"/>
      <c r="X41" s="8" t="n"/>
      <c r="Y41" s="8" t="n"/>
      <c r="Z41" s="8" t="n"/>
      <c r="AB41" s="37">
        <f>IF(32*Settings!$C$7&gt;=1440,"",MOD(ROUND((Settings!$C$6+32*Settings!$C$7/1440)*1440,0),1440)/1440)</f>
        <v/>
      </c>
      <c r="AC41" s="8" t="n"/>
      <c r="AD41" s="8" t="n"/>
      <c r="AE41" s="8" t="n"/>
      <c r="AF41" s="8" t="n"/>
      <c r="AH41" s="37">
        <f>IF(32*Settings!$C$7&gt;=1440,"",MOD(ROUND((Settings!$C$6+32*Settings!$C$7/1440)*1440,0),1440)/1440)</f>
        <v/>
      </c>
      <c r="AI41" s="8" t="n"/>
      <c r="AJ41" s="8" t="n"/>
      <c r="AK41" s="8" t="n"/>
      <c r="AL41" s="8" t="n"/>
      <c r="AN41" s="37">
        <f>IF(32*Settings!$C$7&gt;=1440,"",MOD(ROUND((Settings!$C$6+32*Settings!$C$7/1440)*1440,0),1440)/1440)</f>
        <v/>
      </c>
      <c r="AO41" s="8" t="n"/>
      <c r="AP41" s="8" t="n"/>
      <c r="AQ41" s="8" t="n"/>
      <c r="AR41" s="8" t="n"/>
      <c r="AT41" s="37">
        <f>IF(32*Settings!$C$7&gt;=1440,"",MOD(ROUND((Settings!$C$6+32*Settings!$C$7/1440)*1440,0),1440)/1440)</f>
        <v/>
      </c>
      <c r="AU41" s="8" t="n"/>
      <c r="AV41" s="8" t="n"/>
      <c r="AW41" s="8" t="n"/>
      <c r="AX41" s="8" t="n"/>
    </row>
    <row r="42">
      <c r="J42" s="37">
        <f>IF(33*Settings!$C$7&gt;=1440,"",MOD(ROUND((Settings!$C$6+33*Settings!$C$7/1440)*1440,0),1440)/1440)</f>
        <v/>
      </c>
      <c r="K42" s="8" t="n"/>
      <c r="L42" s="8" t="n"/>
      <c r="M42" s="8" t="n"/>
      <c r="N42" s="8" t="n"/>
      <c r="P42" s="37">
        <f>IF(33*Settings!$C$7&gt;=1440,"",MOD(ROUND((Settings!$C$6+33*Settings!$C$7/1440)*1440,0),1440)/1440)</f>
        <v/>
      </c>
      <c r="Q42" s="8" t="n"/>
      <c r="R42" s="8" t="n"/>
      <c r="S42" s="8" t="n"/>
      <c r="T42" s="8" t="n"/>
      <c r="V42" s="37">
        <f>IF(33*Settings!$C$7&gt;=1440,"",MOD(ROUND((Settings!$C$6+33*Settings!$C$7/1440)*1440,0),1440)/1440)</f>
        <v/>
      </c>
      <c r="W42" s="8" t="n"/>
      <c r="X42" s="8" t="n"/>
      <c r="Y42" s="8" t="n"/>
      <c r="Z42" s="8" t="n"/>
      <c r="AB42" s="37">
        <f>IF(33*Settings!$C$7&gt;=1440,"",MOD(ROUND((Settings!$C$6+33*Settings!$C$7/1440)*1440,0),1440)/1440)</f>
        <v/>
      </c>
      <c r="AC42" s="8" t="n"/>
      <c r="AD42" s="8" t="n"/>
      <c r="AE42" s="8" t="n"/>
      <c r="AF42" s="8" t="n"/>
      <c r="AH42" s="37">
        <f>IF(33*Settings!$C$7&gt;=1440,"",MOD(ROUND((Settings!$C$6+33*Settings!$C$7/1440)*1440,0),1440)/1440)</f>
        <v/>
      </c>
      <c r="AI42" s="8" t="n"/>
      <c r="AJ42" s="8" t="n"/>
      <c r="AK42" s="8" t="n"/>
      <c r="AL42" s="8" t="n"/>
      <c r="AN42" s="37">
        <f>IF(33*Settings!$C$7&gt;=1440,"",MOD(ROUND((Settings!$C$6+33*Settings!$C$7/1440)*1440,0),1440)/1440)</f>
        <v/>
      </c>
      <c r="AO42" s="8" t="n"/>
      <c r="AP42" s="8" t="n"/>
      <c r="AQ42" s="8" t="n"/>
      <c r="AR42" s="8" t="n"/>
      <c r="AT42" s="37">
        <f>IF(33*Settings!$C$7&gt;=1440,"",MOD(ROUND((Settings!$C$6+33*Settings!$C$7/1440)*1440,0),1440)/1440)</f>
        <v/>
      </c>
      <c r="AU42" s="8" t="n"/>
      <c r="AV42" s="8" t="n"/>
      <c r="AW42" s="8" t="n"/>
      <c r="AX42" s="8" t="n"/>
    </row>
    <row r="43">
      <c r="J43" s="37">
        <f>IF(34*Settings!$C$7&gt;=1440,"",MOD(ROUND((Settings!$C$6+34*Settings!$C$7/1440)*1440,0),1440)/1440)</f>
        <v/>
      </c>
      <c r="K43" s="8" t="n"/>
      <c r="L43" s="8" t="n"/>
      <c r="M43" s="8" t="n"/>
      <c r="N43" s="8" t="n"/>
      <c r="P43" s="37">
        <f>IF(34*Settings!$C$7&gt;=1440,"",MOD(ROUND((Settings!$C$6+34*Settings!$C$7/1440)*1440,0),1440)/1440)</f>
        <v/>
      </c>
      <c r="Q43" s="8" t="n"/>
      <c r="R43" s="8" t="n"/>
      <c r="S43" s="8" t="n"/>
      <c r="T43" s="8" t="n"/>
      <c r="V43" s="37">
        <f>IF(34*Settings!$C$7&gt;=1440,"",MOD(ROUND((Settings!$C$6+34*Settings!$C$7/1440)*1440,0),1440)/1440)</f>
        <v/>
      </c>
      <c r="W43" s="8" t="n"/>
      <c r="X43" s="8" t="n"/>
      <c r="Y43" s="8" t="n"/>
      <c r="Z43" s="8" t="n"/>
      <c r="AB43" s="37">
        <f>IF(34*Settings!$C$7&gt;=1440,"",MOD(ROUND((Settings!$C$6+34*Settings!$C$7/1440)*1440,0),1440)/1440)</f>
        <v/>
      </c>
      <c r="AC43" s="8" t="n"/>
      <c r="AD43" s="8" t="n"/>
      <c r="AE43" s="8" t="n"/>
      <c r="AF43" s="8" t="n"/>
      <c r="AH43" s="37">
        <f>IF(34*Settings!$C$7&gt;=1440,"",MOD(ROUND((Settings!$C$6+34*Settings!$C$7/1440)*1440,0),1440)/1440)</f>
        <v/>
      </c>
      <c r="AI43" s="8" t="n"/>
      <c r="AJ43" s="8" t="n"/>
      <c r="AK43" s="8" t="n"/>
      <c r="AL43" s="8" t="n"/>
      <c r="AN43" s="37">
        <f>IF(34*Settings!$C$7&gt;=1440,"",MOD(ROUND((Settings!$C$6+34*Settings!$C$7/1440)*1440,0),1440)/1440)</f>
        <v/>
      </c>
      <c r="AO43" s="8" t="n"/>
      <c r="AP43" s="8" t="n"/>
      <c r="AQ43" s="8" t="n"/>
      <c r="AR43" s="8" t="n"/>
      <c r="AT43" s="37">
        <f>IF(34*Settings!$C$7&gt;=1440,"",MOD(ROUND((Settings!$C$6+34*Settings!$C$7/1440)*1440,0),1440)/1440)</f>
        <v/>
      </c>
      <c r="AU43" s="8" t="n"/>
      <c r="AV43" s="8" t="n"/>
      <c r="AW43" s="8" t="n"/>
      <c r="AX43" s="8" t="n"/>
    </row>
    <row r="44">
      <c r="J44" s="37">
        <f>IF(35*Settings!$C$7&gt;=1440,"",MOD(ROUND((Settings!$C$6+35*Settings!$C$7/1440)*1440,0),1440)/1440)</f>
        <v/>
      </c>
      <c r="K44" s="8" t="n"/>
      <c r="L44" s="8" t="n"/>
      <c r="M44" s="8" t="n"/>
      <c r="N44" s="8" t="n"/>
      <c r="P44" s="37">
        <f>IF(35*Settings!$C$7&gt;=1440,"",MOD(ROUND((Settings!$C$6+35*Settings!$C$7/1440)*1440,0),1440)/1440)</f>
        <v/>
      </c>
      <c r="Q44" s="8" t="n"/>
      <c r="R44" s="8" t="n"/>
      <c r="S44" s="8" t="n"/>
      <c r="T44" s="8" t="n"/>
      <c r="V44" s="37">
        <f>IF(35*Settings!$C$7&gt;=1440,"",MOD(ROUND((Settings!$C$6+35*Settings!$C$7/1440)*1440,0),1440)/1440)</f>
        <v/>
      </c>
      <c r="W44" s="8" t="n"/>
      <c r="X44" s="8" t="n"/>
      <c r="Y44" s="8" t="n"/>
      <c r="Z44" s="8" t="n"/>
      <c r="AB44" s="37">
        <f>IF(35*Settings!$C$7&gt;=1440,"",MOD(ROUND((Settings!$C$6+35*Settings!$C$7/1440)*1440,0),1440)/1440)</f>
        <v/>
      </c>
      <c r="AC44" s="8" t="n"/>
      <c r="AD44" s="8" t="n"/>
      <c r="AE44" s="8" t="n"/>
      <c r="AF44" s="8" t="n"/>
      <c r="AH44" s="37">
        <f>IF(35*Settings!$C$7&gt;=1440,"",MOD(ROUND((Settings!$C$6+35*Settings!$C$7/1440)*1440,0),1440)/1440)</f>
        <v/>
      </c>
      <c r="AI44" s="8" t="n"/>
      <c r="AJ44" s="8" t="n"/>
      <c r="AK44" s="8" t="n"/>
      <c r="AL44" s="8" t="n"/>
      <c r="AN44" s="37">
        <f>IF(35*Settings!$C$7&gt;=1440,"",MOD(ROUND((Settings!$C$6+35*Settings!$C$7/1440)*1440,0),1440)/1440)</f>
        <v/>
      </c>
      <c r="AO44" s="8" t="n"/>
      <c r="AP44" s="8" t="n"/>
      <c r="AQ44" s="8" t="n"/>
      <c r="AR44" s="8" t="n"/>
      <c r="AT44" s="37">
        <f>IF(35*Settings!$C$7&gt;=1440,"",MOD(ROUND((Settings!$C$6+35*Settings!$C$7/1440)*1440,0),1440)/1440)</f>
        <v/>
      </c>
      <c r="AU44" s="8" t="n"/>
      <c r="AV44" s="8" t="n"/>
      <c r="AW44" s="8" t="n"/>
      <c r="AX44" s="8" t="n"/>
    </row>
    <row r="46">
      <c r="J46" s="6">
        <f>IF(Settings!$C$95="",Settings!$B$95,Settings!$C$95)</f>
        <v/>
      </c>
      <c r="K46" s="6" t="n"/>
      <c r="L46" s="6" t="n"/>
      <c r="M46" s="6" t="n"/>
      <c r="N46" s="6" t="n"/>
      <c r="P46" s="6">
        <f>IF(Settings!$C$95="",Settings!$B$95,Settings!$C$95)</f>
        <v/>
      </c>
      <c r="Q46" s="6" t="n"/>
      <c r="R46" s="6" t="n"/>
      <c r="S46" s="6" t="n"/>
      <c r="T46" s="6" t="n"/>
      <c r="V46" s="6">
        <f>IF(Settings!$C$95="",Settings!$B$95,Settings!$C$95)</f>
        <v/>
      </c>
      <c r="W46" s="6" t="n"/>
      <c r="X46" s="6" t="n"/>
      <c r="Y46" s="6" t="n"/>
      <c r="Z46" s="6" t="n"/>
      <c r="AB46" s="6">
        <f>IF(Settings!$C$95="",Settings!$B$95,Settings!$C$95)</f>
        <v/>
      </c>
      <c r="AC46" s="6" t="n"/>
      <c r="AD46" s="6" t="n"/>
      <c r="AE46" s="6" t="n"/>
      <c r="AF46" s="6" t="n"/>
      <c r="AH46" s="6">
        <f>IF(Settings!$C$95="",Settings!$B$95,Settings!$C$95)</f>
        <v/>
      </c>
      <c r="AI46" s="6" t="n"/>
      <c r="AJ46" s="6" t="n"/>
      <c r="AK46" s="6" t="n"/>
      <c r="AL46" s="6" t="n"/>
      <c r="AN46" s="6">
        <f>IF(Settings!$C$95="",Settings!$B$95,Settings!$C$95)</f>
        <v/>
      </c>
      <c r="AO46" s="6" t="n"/>
      <c r="AP46" s="6" t="n"/>
      <c r="AQ46" s="6" t="n"/>
      <c r="AR46" s="6" t="n"/>
      <c r="AT46" s="6">
        <f>IF(Settings!$C$95="",Settings!$B$95,Settings!$C$95)</f>
        <v/>
      </c>
      <c r="AU46" s="6" t="n"/>
      <c r="AV46" s="6" t="n"/>
      <c r="AW46" s="6" t="n"/>
      <c r="AX46" s="6" t="n"/>
    </row>
    <row r="47">
      <c r="J47" s="14" t="b">
        <v>0</v>
      </c>
      <c r="K47" s="8" t="n"/>
      <c r="L47" s="8" t="n"/>
      <c r="M47" s="8" t="n"/>
      <c r="N47" s="8" t="n"/>
      <c r="P47" s="14" t="b">
        <v>0</v>
      </c>
      <c r="Q47" s="8" t="n"/>
      <c r="R47" s="8" t="n"/>
      <c r="S47" s="8" t="n"/>
      <c r="T47" s="8" t="n"/>
      <c r="V47" s="14" t="b">
        <v>0</v>
      </c>
      <c r="W47" s="8" t="n"/>
      <c r="X47" s="8" t="n"/>
      <c r="Y47" s="8" t="n"/>
      <c r="Z47" s="8" t="n"/>
      <c r="AB47" s="14" t="b">
        <v>0</v>
      </c>
      <c r="AC47" s="8" t="n"/>
      <c r="AD47" s="8" t="n"/>
      <c r="AE47" s="8" t="n"/>
      <c r="AF47" s="8" t="n"/>
      <c r="AH47" s="14" t="b">
        <v>0</v>
      </c>
      <c r="AI47" s="8" t="n"/>
      <c r="AJ47" s="8" t="n"/>
      <c r="AK47" s="8" t="n"/>
      <c r="AL47" s="8" t="n"/>
      <c r="AN47" s="14" t="b">
        <v>0</v>
      </c>
      <c r="AO47" s="8" t="n"/>
      <c r="AP47" s="8" t="n"/>
      <c r="AQ47" s="8" t="n"/>
      <c r="AR47" s="8" t="n"/>
      <c r="AT47" s="14" t="b">
        <v>0</v>
      </c>
      <c r="AU47" s="8" t="n"/>
      <c r="AV47" s="8" t="n"/>
      <c r="AW47" s="8" t="n"/>
      <c r="AX47" s="8" t="n"/>
    </row>
    <row r="48">
      <c r="J48" s="14" t="b">
        <v>0</v>
      </c>
      <c r="K48" s="8" t="n"/>
      <c r="L48" s="8" t="n"/>
      <c r="M48" s="8" t="n"/>
      <c r="N48" s="8" t="n"/>
      <c r="P48" s="14" t="b">
        <v>0</v>
      </c>
      <c r="Q48" s="8" t="n"/>
      <c r="R48" s="8" t="n"/>
      <c r="S48" s="8" t="n"/>
      <c r="T48" s="8" t="n"/>
      <c r="V48" s="14" t="b">
        <v>0</v>
      </c>
      <c r="W48" s="8" t="n"/>
      <c r="X48" s="8" t="n"/>
      <c r="Y48" s="8" t="n"/>
      <c r="Z48" s="8" t="n"/>
      <c r="AB48" s="14" t="b">
        <v>0</v>
      </c>
      <c r="AC48" s="8" t="n"/>
      <c r="AD48" s="8" t="n"/>
      <c r="AE48" s="8" t="n"/>
      <c r="AF48" s="8" t="n"/>
      <c r="AH48" s="14" t="b">
        <v>0</v>
      </c>
      <c r="AI48" s="8" t="n"/>
      <c r="AJ48" s="8" t="n"/>
      <c r="AK48" s="8" t="n"/>
      <c r="AL48" s="8" t="n"/>
      <c r="AN48" s="14" t="b">
        <v>0</v>
      </c>
      <c r="AO48" s="8" t="n"/>
      <c r="AP48" s="8" t="n"/>
      <c r="AQ48" s="8" t="n"/>
      <c r="AR48" s="8" t="n"/>
      <c r="AT48" s="14" t="b">
        <v>0</v>
      </c>
      <c r="AU48" s="8" t="n"/>
      <c r="AV48" s="8" t="n"/>
      <c r="AW48" s="8" t="n"/>
      <c r="AX48" s="8" t="n"/>
    </row>
    <row r="49">
      <c r="J49" s="14" t="b">
        <v>0</v>
      </c>
      <c r="K49" s="8" t="n"/>
      <c r="L49" s="8" t="n"/>
      <c r="M49" s="8" t="n"/>
      <c r="N49" s="8" t="n"/>
      <c r="P49" s="14" t="b">
        <v>0</v>
      </c>
      <c r="Q49" s="8" t="n"/>
      <c r="R49" s="8" t="n"/>
      <c r="S49" s="8" t="n"/>
      <c r="T49" s="8" t="n"/>
      <c r="V49" s="14" t="b">
        <v>0</v>
      </c>
      <c r="W49" s="8" t="n"/>
      <c r="X49" s="8" t="n"/>
      <c r="Y49" s="8" t="n"/>
      <c r="Z49" s="8" t="n"/>
      <c r="AB49" s="14" t="b">
        <v>0</v>
      </c>
      <c r="AC49" s="8" t="n"/>
      <c r="AD49" s="8" t="n"/>
      <c r="AE49" s="8" t="n"/>
      <c r="AF49" s="8" t="n"/>
      <c r="AH49" s="14" t="b">
        <v>0</v>
      </c>
      <c r="AI49" s="8" t="n"/>
      <c r="AJ49" s="8" t="n"/>
      <c r="AK49" s="8" t="n"/>
      <c r="AL49" s="8" t="n"/>
      <c r="AN49" s="14" t="b">
        <v>0</v>
      </c>
      <c r="AO49" s="8" t="n"/>
      <c r="AP49" s="8" t="n"/>
      <c r="AQ49" s="8" t="n"/>
      <c r="AR49" s="8" t="n"/>
      <c r="AT49" s="14" t="b">
        <v>0</v>
      </c>
      <c r="AU49" s="8" t="n"/>
      <c r="AV49" s="8" t="n"/>
      <c r="AW49" s="8" t="n"/>
      <c r="AX49" s="8" t="n"/>
    </row>
    <row r="50">
      <c r="J50" s="14" t="b">
        <v>0</v>
      </c>
      <c r="K50" s="8" t="n"/>
      <c r="L50" s="8" t="n"/>
      <c r="M50" s="8" t="n"/>
      <c r="N50" s="8" t="n"/>
      <c r="P50" s="14" t="b">
        <v>0</v>
      </c>
      <c r="Q50" s="8" t="n"/>
      <c r="R50" s="8" t="n"/>
      <c r="S50" s="8" t="n"/>
      <c r="T50" s="8" t="n"/>
      <c r="V50" s="14" t="b">
        <v>0</v>
      </c>
      <c r="W50" s="8" t="n"/>
      <c r="X50" s="8" t="n"/>
      <c r="Y50" s="8" t="n"/>
      <c r="Z50" s="8" t="n"/>
      <c r="AB50" s="14" t="b">
        <v>0</v>
      </c>
      <c r="AC50" s="8" t="n"/>
      <c r="AD50" s="8" t="n"/>
      <c r="AE50" s="8" t="n"/>
      <c r="AF50" s="8" t="n"/>
      <c r="AH50" s="14" t="b">
        <v>0</v>
      </c>
      <c r="AI50" s="8" t="n"/>
      <c r="AJ50" s="8" t="n"/>
      <c r="AK50" s="8" t="n"/>
      <c r="AL50" s="8" t="n"/>
      <c r="AN50" s="14" t="b">
        <v>0</v>
      </c>
      <c r="AO50" s="8" t="n"/>
      <c r="AP50" s="8" t="n"/>
      <c r="AQ50" s="8" t="n"/>
      <c r="AR50" s="8" t="n"/>
      <c r="AT50" s="14" t="b">
        <v>0</v>
      </c>
      <c r="AU50" s="8" t="n"/>
      <c r="AV50" s="8" t="n"/>
      <c r="AW50" s="8" t="n"/>
      <c r="AX50" s="8" t="n"/>
    </row>
    <row r="51">
      <c r="J51" s="14" t="b">
        <v>0</v>
      </c>
      <c r="K51" s="8" t="n"/>
      <c r="L51" s="8" t="n"/>
      <c r="M51" s="8" t="n"/>
      <c r="N51" s="8" t="n"/>
      <c r="P51" s="14" t="b">
        <v>0</v>
      </c>
      <c r="Q51" s="8" t="n"/>
      <c r="R51" s="8" t="n"/>
      <c r="S51" s="8" t="n"/>
      <c r="T51" s="8" t="n"/>
      <c r="V51" s="14" t="b">
        <v>0</v>
      </c>
      <c r="W51" s="8" t="n"/>
      <c r="X51" s="8" t="n"/>
      <c r="Y51" s="8" t="n"/>
      <c r="Z51" s="8" t="n"/>
      <c r="AB51" s="14" t="b">
        <v>0</v>
      </c>
      <c r="AC51" s="8" t="n"/>
      <c r="AD51" s="8" t="n"/>
      <c r="AE51" s="8" t="n"/>
      <c r="AF51" s="8" t="n"/>
      <c r="AH51" s="14" t="b">
        <v>0</v>
      </c>
      <c r="AI51" s="8" t="n"/>
      <c r="AJ51" s="8" t="n"/>
      <c r="AK51" s="8" t="n"/>
      <c r="AL51" s="8" t="n"/>
      <c r="AN51" s="14" t="b">
        <v>0</v>
      </c>
      <c r="AO51" s="8" t="n"/>
      <c r="AP51" s="8" t="n"/>
      <c r="AQ51" s="8" t="n"/>
      <c r="AR51" s="8" t="n"/>
      <c r="AT51" s="14" t="b">
        <v>0</v>
      </c>
      <c r="AU51" s="8" t="n"/>
      <c r="AV51" s="8" t="n"/>
      <c r="AW51" s="8" t="n"/>
      <c r="AX51" s="8" t="n"/>
    </row>
    <row r="52">
      <c r="J52" s="14" t="b">
        <v>0</v>
      </c>
      <c r="K52" s="8" t="n"/>
      <c r="L52" s="8" t="n"/>
      <c r="M52" s="8" t="n"/>
      <c r="N52" s="8" t="n"/>
      <c r="P52" s="14" t="b">
        <v>0</v>
      </c>
      <c r="Q52" s="8" t="n"/>
      <c r="R52" s="8" t="n"/>
      <c r="S52" s="8" t="n"/>
      <c r="T52" s="8" t="n"/>
      <c r="V52" s="14" t="b">
        <v>0</v>
      </c>
      <c r="W52" s="8" t="n"/>
      <c r="X52" s="8" t="n"/>
      <c r="Y52" s="8" t="n"/>
      <c r="Z52" s="8" t="n"/>
      <c r="AB52" s="14" t="b">
        <v>0</v>
      </c>
      <c r="AC52" s="8" t="n"/>
      <c r="AD52" s="8" t="n"/>
      <c r="AE52" s="8" t="n"/>
      <c r="AF52" s="8" t="n"/>
      <c r="AH52" s="14" t="b">
        <v>0</v>
      </c>
      <c r="AI52" s="8" t="n"/>
      <c r="AJ52" s="8" t="n"/>
      <c r="AK52" s="8" t="n"/>
      <c r="AL52" s="8" t="n"/>
      <c r="AN52" s="14" t="b">
        <v>0</v>
      </c>
      <c r="AO52" s="8" t="n"/>
      <c r="AP52" s="8" t="n"/>
      <c r="AQ52" s="8" t="n"/>
      <c r="AR52" s="8" t="n"/>
      <c r="AT52" s="14" t="b">
        <v>0</v>
      </c>
      <c r="AU52" s="8" t="n"/>
      <c r="AV52" s="8" t="n"/>
      <c r="AW52" s="8" t="n"/>
      <c r="AX52" s="8" t="n"/>
    </row>
    <row r="53">
      <c r="J53" s="14" t="b">
        <v>0</v>
      </c>
      <c r="K53" s="8" t="n"/>
      <c r="L53" s="8" t="n"/>
      <c r="M53" s="8" t="n"/>
      <c r="N53" s="8" t="n"/>
      <c r="P53" s="14" t="b">
        <v>0</v>
      </c>
      <c r="Q53" s="8" t="n"/>
      <c r="R53" s="8" t="n"/>
      <c r="S53" s="8" t="n"/>
      <c r="T53" s="8" t="n"/>
      <c r="V53" s="14" t="b">
        <v>0</v>
      </c>
      <c r="W53" s="8" t="n"/>
      <c r="X53" s="8" t="n"/>
      <c r="Y53" s="8" t="n"/>
      <c r="Z53" s="8" t="n"/>
      <c r="AB53" s="14" t="b">
        <v>0</v>
      </c>
      <c r="AC53" s="8" t="n"/>
      <c r="AD53" s="8" t="n"/>
      <c r="AE53" s="8" t="n"/>
      <c r="AF53" s="8" t="n"/>
      <c r="AH53" s="14" t="b">
        <v>0</v>
      </c>
      <c r="AI53" s="8" t="n"/>
      <c r="AJ53" s="8" t="n"/>
      <c r="AK53" s="8" t="n"/>
      <c r="AL53" s="8" t="n"/>
      <c r="AN53" s="14" t="b">
        <v>0</v>
      </c>
      <c r="AO53" s="8" t="n"/>
      <c r="AP53" s="8" t="n"/>
      <c r="AQ53" s="8" t="n"/>
      <c r="AR53" s="8" t="n"/>
      <c r="AT53" s="14" t="b">
        <v>0</v>
      </c>
      <c r="AU53" s="8" t="n"/>
      <c r="AV53" s="8" t="n"/>
      <c r="AW53" s="8" t="n"/>
      <c r="AX53" s="8" t="n"/>
    </row>
    <row r="54">
      <c r="J54" s="14" t="b">
        <v>0</v>
      </c>
      <c r="K54" s="8" t="n"/>
      <c r="L54" s="8" t="n"/>
      <c r="M54" s="8" t="n"/>
      <c r="N54" s="8" t="n"/>
      <c r="P54" s="14" t="b">
        <v>0</v>
      </c>
      <c r="Q54" s="8" t="n"/>
      <c r="R54" s="8" t="n"/>
      <c r="S54" s="8" t="n"/>
      <c r="T54" s="8" t="n"/>
      <c r="V54" s="14" t="b">
        <v>0</v>
      </c>
      <c r="W54" s="8" t="n"/>
      <c r="X54" s="8" t="n"/>
      <c r="Y54" s="8" t="n"/>
      <c r="Z54" s="8" t="n"/>
      <c r="AB54" s="14" t="b">
        <v>0</v>
      </c>
      <c r="AC54" s="8" t="n"/>
      <c r="AD54" s="8" t="n"/>
      <c r="AE54" s="8" t="n"/>
      <c r="AF54" s="8" t="n"/>
      <c r="AH54" s="14" t="b">
        <v>0</v>
      </c>
      <c r="AI54" s="8" t="n"/>
      <c r="AJ54" s="8" t="n"/>
      <c r="AK54" s="8" t="n"/>
      <c r="AL54" s="8" t="n"/>
      <c r="AN54" s="14" t="b">
        <v>0</v>
      </c>
      <c r="AO54" s="8" t="n"/>
      <c r="AP54" s="8" t="n"/>
      <c r="AQ54" s="8" t="n"/>
      <c r="AR54" s="8" t="n"/>
      <c r="AT54" s="14" t="b">
        <v>0</v>
      </c>
      <c r="AU54" s="8" t="n"/>
      <c r="AV54" s="8" t="n"/>
      <c r="AW54" s="8" t="n"/>
      <c r="AX54" s="8" t="n"/>
    </row>
    <row r="55">
      <c r="J55" s="14" t="b">
        <v>0</v>
      </c>
      <c r="K55" s="8" t="n"/>
      <c r="L55" s="8" t="n"/>
      <c r="M55" s="8" t="n"/>
      <c r="N55" s="8" t="n"/>
      <c r="P55" s="14" t="b">
        <v>0</v>
      </c>
      <c r="Q55" s="8" t="n"/>
      <c r="R55" s="8" t="n"/>
      <c r="S55" s="8" t="n"/>
      <c r="T55" s="8" t="n"/>
      <c r="V55" s="14" t="b">
        <v>0</v>
      </c>
      <c r="W55" s="8" t="n"/>
      <c r="X55" s="8" t="n"/>
      <c r="Y55" s="8" t="n"/>
      <c r="Z55" s="8" t="n"/>
      <c r="AB55" s="14" t="b">
        <v>0</v>
      </c>
      <c r="AC55" s="8" t="n"/>
      <c r="AD55" s="8" t="n"/>
      <c r="AE55" s="8" t="n"/>
      <c r="AF55" s="8" t="n"/>
      <c r="AH55" s="14" t="b">
        <v>0</v>
      </c>
      <c r="AI55" s="8" t="n"/>
      <c r="AJ55" s="8" t="n"/>
      <c r="AK55" s="8" t="n"/>
      <c r="AL55" s="8" t="n"/>
      <c r="AN55" s="14" t="b">
        <v>0</v>
      </c>
      <c r="AO55" s="8" t="n"/>
      <c r="AP55" s="8" t="n"/>
      <c r="AQ55" s="8" t="n"/>
      <c r="AR55" s="8" t="n"/>
      <c r="AT55" s="14" t="b">
        <v>0</v>
      </c>
      <c r="AU55" s="8" t="n"/>
      <c r="AV55" s="8" t="n"/>
      <c r="AW55" s="8" t="n"/>
      <c r="AX55" s="8" t="n"/>
    </row>
    <row r="56">
      <c r="J56" s="14" t="b">
        <v>0</v>
      </c>
      <c r="K56" s="8" t="n"/>
      <c r="L56" s="8" t="n"/>
      <c r="M56" s="8" t="n"/>
      <c r="N56" s="8" t="n"/>
      <c r="P56" s="14" t="b">
        <v>0</v>
      </c>
      <c r="Q56" s="8" t="n"/>
      <c r="R56" s="8" t="n"/>
      <c r="S56" s="8" t="n"/>
      <c r="T56" s="8" t="n"/>
      <c r="V56" s="14" t="b">
        <v>0</v>
      </c>
      <c r="W56" s="8" t="n"/>
      <c r="X56" s="8" t="n"/>
      <c r="Y56" s="8" t="n"/>
      <c r="Z56" s="8" t="n"/>
      <c r="AB56" s="14" t="b">
        <v>0</v>
      </c>
      <c r="AC56" s="8" t="n"/>
      <c r="AD56" s="8" t="n"/>
      <c r="AE56" s="8" t="n"/>
      <c r="AF56" s="8" t="n"/>
      <c r="AH56" s="14" t="b">
        <v>0</v>
      </c>
      <c r="AI56" s="8" t="n"/>
      <c r="AJ56" s="8" t="n"/>
      <c r="AK56" s="8" t="n"/>
      <c r="AL56" s="8" t="n"/>
      <c r="AN56" s="14" t="b">
        <v>0</v>
      </c>
      <c r="AO56" s="8" t="n"/>
      <c r="AP56" s="8" t="n"/>
      <c r="AQ56" s="8" t="n"/>
      <c r="AR56" s="8" t="n"/>
      <c r="AT56" s="14" t="b">
        <v>0</v>
      </c>
      <c r="AU56" s="8" t="n"/>
      <c r="AV56" s="8" t="n"/>
      <c r="AW56" s="8" t="n"/>
      <c r="AX56" s="8" t="n"/>
    </row>
    <row r="58">
      <c r="J58" s="6">
        <f>IF(Settings!$C$99="",Settings!$B$99,Settings!$C$99)</f>
        <v/>
      </c>
      <c r="K58" s="6" t="n"/>
      <c r="L58" s="6" t="n"/>
      <c r="M58" s="6" t="n"/>
      <c r="N58" s="6" t="n"/>
      <c r="P58" s="6">
        <f>IF(Settings!$C$99="",Settings!$B$99,Settings!$C$99)</f>
        <v/>
      </c>
      <c r="Q58" s="6" t="n"/>
      <c r="R58" s="6" t="n"/>
      <c r="S58" s="6" t="n"/>
      <c r="T58" s="6" t="n"/>
      <c r="V58" s="6">
        <f>IF(Settings!$C$99="",Settings!$B$99,Settings!$C$99)</f>
        <v/>
      </c>
      <c r="W58" s="6" t="n"/>
      <c r="X58" s="6" t="n"/>
      <c r="Y58" s="6" t="n"/>
      <c r="Z58" s="6" t="n"/>
      <c r="AB58" s="6">
        <f>IF(Settings!$C$99="",Settings!$B$99,Settings!$C$99)</f>
        <v/>
      </c>
      <c r="AC58" s="6" t="n"/>
      <c r="AD58" s="6" t="n"/>
      <c r="AE58" s="6" t="n"/>
      <c r="AF58" s="6" t="n"/>
      <c r="AH58" s="6">
        <f>IF(Settings!$C$99="",Settings!$B$99,Settings!$C$99)</f>
        <v/>
      </c>
      <c r="AI58" s="6" t="n"/>
      <c r="AJ58" s="6" t="n"/>
      <c r="AK58" s="6" t="n"/>
      <c r="AL58" s="6" t="n"/>
      <c r="AN58" s="6">
        <f>IF(Settings!$C$99="",Settings!$B$99,Settings!$C$99)</f>
        <v/>
      </c>
      <c r="AO58" s="6" t="n"/>
      <c r="AP58" s="6" t="n"/>
      <c r="AQ58" s="6" t="n"/>
      <c r="AR58" s="6" t="n"/>
      <c r="AT58" s="6">
        <f>IF(Settings!$C$99="",Settings!$B$99,Settings!$C$99)</f>
        <v/>
      </c>
      <c r="AU58" s="6" t="n"/>
      <c r="AV58" s="6" t="n"/>
      <c r="AW58" s="6" t="n"/>
      <c r="AX58" s="6" t="n"/>
    </row>
    <row r="59">
      <c r="J59" s="8" t="n"/>
      <c r="K59" s="8" t="n"/>
      <c r="L59" s="8" t="n"/>
      <c r="M59" s="8" t="n"/>
      <c r="N59" s="8" t="n"/>
      <c r="P59" s="8" t="n"/>
      <c r="Q59" s="8" t="n"/>
      <c r="R59" s="8" t="n"/>
      <c r="S59" s="8" t="n"/>
      <c r="T59" s="8" t="n"/>
      <c r="V59" s="8" t="n"/>
      <c r="W59" s="8" t="n"/>
      <c r="X59" s="8" t="n"/>
      <c r="Y59" s="8" t="n"/>
      <c r="Z59" s="8" t="n"/>
      <c r="AB59" s="8" t="n"/>
      <c r="AC59" s="8" t="n"/>
      <c r="AD59" s="8" t="n"/>
      <c r="AE59" s="8" t="n"/>
      <c r="AF59" s="8" t="n"/>
      <c r="AH59" s="8" t="n"/>
      <c r="AI59" s="8" t="n"/>
      <c r="AJ59" s="8" t="n"/>
      <c r="AK59" s="8" t="n"/>
      <c r="AL59" s="8" t="n"/>
      <c r="AN59" s="8" t="n"/>
      <c r="AO59" s="8" t="n"/>
      <c r="AP59" s="8" t="n"/>
      <c r="AQ59" s="8" t="n"/>
      <c r="AR59" s="8" t="n"/>
      <c r="AT59" s="8" t="n"/>
      <c r="AU59" s="8" t="n"/>
      <c r="AV59" s="8" t="n"/>
      <c r="AW59" s="8" t="n"/>
      <c r="AX59" s="8" t="n"/>
    </row>
    <row r="60">
      <c r="J60" s="8" t="n"/>
      <c r="K60" s="8" t="n"/>
      <c r="L60" s="8" t="n"/>
      <c r="M60" s="8" t="n"/>
      <c r="N60" s="8" t="n"/>
      <c r="P60" s="8" t="n"/>
      <c r="Q60" s="8" t="n"/>
      <c r="R60" s="8" t="n"/>
      <c r="S60" s="8" t="n"/>
      <c r="T60" s="8" t="n"/>
      <c r="V60" s="8" t="n"/>
      <c r="W60" s="8" t="n"/>
      <c r="X60" s="8" t="n"/>
      <c r="Y60" s="8" t="n"/>
      <c r="Z60" s="8" t="n"/>
      <c r="AB60" s="8" t="n"/>
      <c r="AC60" s="8" t="n"/>
      <c r="AD60" s="8" t="n"/>
      <c r="AE60" s="8" t="n"/>
      <c r="AF60" s="8" t="n"/>
      <c r="AH60" s="8" t="n"/>
      <c r="AI60" s="8" t="n"/>
      <c r="AJ60" s="8" t="n"/>
      <c r="AK60" s="8" t="n"/>
      <c r="AL60" s="8" t="n"/>
      <c r="AN60" s="8" t="n"/>
      <c r="AO60" s="8" t="n"/>
      <c r="AP60" s="8" t="n"/>
      <c r="AQ60" s="8" t="n"/>
      <c r="AR60" s="8" t="n"/>
      <c r="AT60" s="8" t="n"/>
      <c r="AU60" s="8" t="n"/>
      <c r="AV60" s="8" t="n"/>
      <c r="AW60" s="8" t="n"/>
      <c r="AX60" s="8" t="n"/>
    </row>
    <row r="61">
      <c r="J61" s="8" t="n"/>
      <c r="K61" s="8" t="n"/>
      <c r="L61" s="8" t="n"/>
      <c r="M61" s="8" t="n"/>
      <c r="N61" s="8" t="n"/>
      <c r="P61" s="8" t="n"/>
      <c r="Q61" s="8" t="n"/>
      <c r="R61" s="8" t="n"/>
      <c r="S61" s="8" t="n"/>
      <c r="T61" s="8" t="n"/>
      <c r="V61" s="8" t="n"/>
      <c r="W61" s="8" t="n"/>
      <c r="X61" s="8" t="n"/>
      <c r="Y61" s="8" t="n"/>
      <c r="Z61" s="8" t="n"/>
      <c r="AB61" s="8" t="n"/>
      <c r="AC61" s="8" t="n"/>
      <c r="AD61" s="8" t="n"/>
      <c r="AE61" s="8" t="n"/>
      <c r="AF61" s="8" t="n"/>
      <c r="AH61" s="8" t="n"/>
      <c r="AI61" s="8" t="n"/>
      <c r="AJ61" s="8" t="n"/>
      <c r="AK61" s="8" t="n"/>
      <c r="AL61" s="8" t="n"/>
      <c r="AN61" s="8" t="n"/>
      <c r="AO61" s="8" t="n"/>
      <c r="AP61" s="8" t="n"/>
      <c r="AQ61" s="8" t="n"/>
      <c r="AR61" s="8" t="n"/>
      <c r="AT61" s="8" t="n"/>
      <c r="AU61" s="8" t="n"/>
      <c r="AV61" s="8" t="n"/>
      <c r="AW61" s="8" t="n"/>
      <c r="AX61" s="8" t="n"/>
    </row>
    <row r="62">
      <c r="J62" s="8" t="n"/>
      <c r="K62" s="8" t="n"/>
      <c r="L62" s="8" t="n"/>
      <c r="M62" s="8" t="n"/>
      <c r="N62" s="8" t="n"/>
      <c r="P62" s="8" t="n"/>
      <c r="Q62" s="8" t="n"/>
      <c r="R62" s="8" t="n"/>
      <c r="S62" s="8" t="n"/>
      <c r="T62" s="8" t="n"/>
      <c r="V62" s="8" t="n"/>
      <c r="W62" s="8" t="n"/>
      <c r="X62" s="8" t="n"/>
      <c r="Y62" s="8" t="n"/>
      <c r="Z62" s="8" t="n"/>
      <c r="AB62" s="8" t="n"/>
      <c r="AC62" s="8" t="n"/>
      <c r="AD62" s="8" t="n"/>
      <c r="AE62" s="8" t="n"/>
      <c r="AF62" s="8" t="n"/>
      <c r="AH62" s="8" t="n"/>
      <c r="AI62" s="8" t="n"/>
      <c r="AJ62" s="8" t="n"/>
      <c r="AK62" s="8" t="n"/>
      <c r="AL62" s="8" t="n"/>
      <c r="AN62" s="8" t="n"/>
      <c r="AO62" s="8" t="n"/>
      <c r="AP62" s="8" t="n"/>
      <c r="AQ62" s="8" t="n"/>
      <c r="AR62" s="8" t="n"/>
      <c r="AT62" s="8" t="n"/>
      <c r="AU62" s="8" t="n"/>
      <c r="AV62" s="8" t="n"/>
      <c r="AW62" s="8" t="n"/>
      <c r="AX62" s="8" t="n"/>
    </row>
    <row r="63">
      <c r="J63" s="8" t="n"/>
      <c r="K63" s="8" t="n"/>
      <c r="L63" s="8" t="n"/>
      <c r="M63" s="8" t="n"/>
      <c r="N63" s="8" t="n"/>
      <c r="P63" s="8" t="n"/>
      <c r="Q63" s="8" t="n"/>
      <c r="R63" s="8" t="n"/>
      <c r="S63" s="8" t="n"/>
      <c r="T63" s="8" t="n"/>
      <c r="V63" s="8" t="n"/>
      <c r="W63" s="8" t="n"/>
      <c r="X63" s="8" t="n"/>
      <c r="Y63" s="8" t="n"/>
      <c r="Z63" s="8" t="n"/>
      <c r="AB63" s="8" t="n"/>
      <c r="AC63" s="8" t="n"/>
      <c r="AD63" s="8" t="n"/>
      <c r="AE63" s="8" t="n"/>
      <c r="AF63" s="8" t="n"/>
      <c r="AH63" s="8" t="n"/>
      <c r="AI63" s="8" t="n"/>
      <c r="AJ63" s="8" t="n"/>
      <c r="AK63" s="8" t="n"/>
      <c r="AL63" s="8" t="n"/>
      <c r="AN63" s="8" t="n"/>
      <c r="AO63" s="8" t="n"/>
      <c r="AP63" s="8" t="n"/>
      <c r="AQ63" s="8" t="n"/>
      <c r="AR63" s="8" t="n"/>
      <c r="AT63" s="8" t="n"/>
      <c r="AU63" s="8" t="n"/>
      <c r="AV63" s="8" t="n"/>
      <c r="AW63" s="8" t="n"/>
      <c r="AX63" s="8" t="n"/>
    </row>
    <row r="65">
      <c r="J65" s="6">
        <f>IF(Settings!$C$97="",Settings!$B$97,Settings!$C$97)</f>
        <v/>
      </c>
      <c r="K65" s="6" t="n"/>
      <c r="L65" s="6" t="n"/>
      <c r="M65" s="6" t="n"/>
      <c r="N65" s="6" t="n"/>
      <c r="P65" s="6">
        <f>IF(Settings!$C$97="",Settings!$B$97,Settings!$C$97)</f>
        <v/>
      </c>
      <c r="Q65" s="6" t="n"/>
      <c r="R65" s="6" t="n"/>
      <c r="S65" s="6" t="n"/>
      <c r="T65" s="6" t="n"/>
      <c r="V65" s="6">
        <f>IF(Settings!$C$97="",Settings!$B$97,Settings!$C$97)</f>
        <v/>
      </c>
      <c r="W65" s="6" t="n"/>
      <c r="X65" s="6" t="n"/>
      <c r="Y65" s="6" t="n"/>
      <c r="Z65" s="6" t="n"/>
      <c r="AB65" s="6">
        <f>IF(Settings!$C$97="",Settings!$B$97,Settings!$C$97)</f>
        <v/>
      </c>
      <c r="AC65" s="6" t="n"/>
      <c r="AD65" s="6" t="n"/>
      <c r="AE65" s="6" t="n"/>
      <c r="AF65" s="6" t="n"/>
      <c r="AH65" s="6">
        <f>IF(Settings!$C$97="",Settings!$B$97,Settings!$C$97)</f>
        <v/>
      </c>
      <c r="AI65" s="6" t="n"/>
      <c r="AJ65" s="6" t="n"/>
      <c r="AK65" s="6" t="n"/>
      <c r="AL65" s="6" t="n"/>
      <c r="AN65" s="6">
        <f>IF(Settings!$C$97="",Settings!$B$97,Settings!$C$97)</f>
        <v/>
      </c>
      <c r="AO65" s="6" t="n"/>
      <c r="AP65" s="6" t="n"/>
      <c r="AQ65" s="6" t="n"/>
      <c r="AR65" s="6" t="n"/>
      <c r="AT65" s="6">
        <f>IF(Settings!$C$97="",Settings!$B$97,Settings!$C$97)</f>
        <v/>
      </c>
      <c r="AU65" s="6" t="n"/>
      <c r="AV65" s="6" t="n"/>
      <c r="AW65" s="6" t="n"/>
      <c r="AX65" s="6" t="n"/>
    </row>
    <row r="66">
      <c r="J66" s="8" t="n"/>
      <c r="K66" s="8" t="n"/>
      <c r="L66" s="8" t="n"/>
      <c r="M66" s="8" t="n"/>
      <c r="N66" s="8" t="n"/>
      <c r="P66" s="8" t="n"/>
      <c r="Q66" s="8" t="n"/>
      <c r="R66" s="8" t="n"/>
      <c r="S66" s="8" t="n"/>
      <c r="T66" s="8" t="n"/>
      <c r="V66" s="8" t="n"/>
      <c r="W66" s="8" t="n"/>
      <c r="X66" s="8" t="n"/>
      <c r="Y66" s="8" t="n"/>
      <c r="Z66" s="8" t="n"/>
      <c r="AB66" s="8" t="n"/>
      <c r="AC66" s="8" t="n"/>
      <c r="AD66" s="8" t="n"/>
      <c r="AE66" s="8" t="n"/>
      <c r="AF66" s="8" t="n"/>
      <c r="AH66" s="8" t="n"/>
      <c r="AI66" s="8" t="n"/>
      <c r="AJ66" s="8" t="n"/>
      <c r="AK66" s="8" t="n"/>
      <c r="AL66" s="8" t="n"/>
      <c r="AN66" s="8" t="n"/>
      <c r="AO66" s="8" t="n"/>
      <c r="AP66" s="8" t="n"/>
      <c r="AQ66" s="8" t="n"/>
      <c r="AR66" s="8" t="n"/>
      <c r="AT66" s="8" t="n"/>
      <c r="AU66" s="8" t="n"/>
      <c r="AV66" s="8" t="n"/>
      <c r="AW66" s="8" t="n"/>
      <c r="AX66" s="8" t="n"/>
    </row>
    <row r="67">
      <c r="J67" s="8" t="n"/>
      <c r="K67" s="8" t="n"/>
      <c r="L67" s="8" t="n"/>
      <c r="M67" s="8" t="n"/>
      <c r="N67" s="8" t="n"/>
      <c r="P67" s="8" t="n"/>
      <c r="Q67" s="8" t="n"/>
      <c r="R67" s="8" t="n"/>
      <c r="S67" s="8" t="n"/>
      <c r="T67" s="8" t="n"/>
      <c r="V67" s="8" t="n"/>
      <c r="W67" s="8" t="n"/>
      <c r="X67" s="8" t="n"/>
      <c r="Y67" s="8" t="n"/>
      <c r="Z67" s="8" t="n"/>
      <c r="AB67" s="8" t="n"/>
      <c r="AC67" s="8" t="n"/>
      <c r="AD67" s="8" t="n"/>
      <c r="AE67" s="8" t="n"/>
      <c r="AF67" s="8" t="n"/>
      <c r="AH67" s="8" t="n"/>
      <c r="AI67" s="8" t="n"/>
      <c r="AJ67" s="8" t="n"/>
      <c r="AK67" s="8" t="n"/>
      <c r="AL67" s="8" t="n"/>
      <c r="AN67" s="8" t="n"/>
      <c r="AO67" s="8" t="n"/>
      <c r="AP67" s="8" t="n"/>
      <c r="AQ67" s="8" t="n"/>
      <c r="AR67" s="8" t="n"/>
      <c r="AT67" s="8" t="n"/>
      <c r="AU67" s="8" t="n"/>
      <c r="AV67" s="8" t="n"/>
      <c r="AW67" s="8" t="n"/>
      <c r="AX67" s="8" t="n"/>
    </row>
    <row r="68">
      <c r="J68" s="8" t="n"/>
      <c r="K68" s="8" t="n"/>
      <c r="L68" s="8" t="n"/>
      <c r="M68" s="8" t="n"/>
      <c r="N68" s="8" t="n"/>
      <c r="P68" s="8" t="n"/>
      <c r="Q68" s="8" t="n"/>
      <c r="R68" s="8" t="n"/>
      <c r="S68" s="8" t="n"/>
      <c r="T68" s="8" t="n"/>
      <c r="V68" s="8" t="n"/>
      <c r="W68" s="8" t="n"/>
      <c r="X68" s="8" t="n"/>
      <c r="Y68" s="8" t="n"/>
      <c r="Z68" s="8" t="n"/>
      <c r="AB68" s="8" t="n"/>
      <c r="AC68" s="8" t="n"/>
      <c r="AD68" s="8" t="n"/>
      <c r="AE68" s="8" t="n"/>
      <c r="AF68" s="8" t="n"/>
      <c r="AH68" s="8" t="n"/>
      <c r="AI68" s="8" t="n"/>
      <c r="AJ68" s="8" t="n"/>
      <c r="AK68" s="8" t="n"/>
      <c r="AL68" s="8" t="n"/>
      <c r="AN68" s="8" t="n"/>
      <c r="AO68" s="8" t="n"/>
      <c r="AP68" s="8" t="n"/>
      <c r="AQ68" s="8" t="n"/>
      <c r="AR68" s="8" t="n"/>
      <c r="AT68" s="8" t="n"/>
      <c r="AU68" s="8" t="n"/>
      <c r="AV68" s="8" t="n"/>
      <c r="AW68" s="8" t="n"/>
      <c r="AX68" s="8" t="n"/>
    </row>
    <row r="69">
      <c r="J69" s="8" t="n"/>
      <c r="K69" s="8" t="n"/>
      <c r="L69" s="8" t="n"/>
      <c r="M69" s="8" t="n"/>
      <c r="N69" s="8" t="n"/>
      <c r="P69" s="8" t="n"/>
      <c r="Q69" s="8" t="n"/>
      <c r="R69" s="8" t="n"/>
      <c r="S69" s="8" t="n"/>
      <c r="T69" s="8" t="n"/>
      <c r="V69" s="8" t="n"/>
      <c r="W69" s="8" t="n"/>
      <c r="X69" s="8" t="n"/>
      <c r="Y69" s="8" t="n"/>
      <c r="Z69" s="8" t="n"/>
      <c r="AB69" s="8" t="n"/>
      <c r="AC69" s="8" t="n"/>
      <c r="AD69" s="8" t="n"/>
      <c r="AE69" s="8" t="n"/>
      <c r="AF69" s="8" t="n"/>
      <c r="AH69" s="8" t="n"/>
      <c r="AI69" s="8" t="n"/>
      <c r="AJ69" s="8" t="n"/>
      <c r="AK69" s="8" t="n"/>
      <c r="AL69" s="8" t="n"/>
      <c r="AN69" s="8" t="n"/>
      <c r="AO69" s="8" t="n"/>
      <c r="AP69" s="8" t="n"/>
      <c r="AQ69" s="8" t="n"/>
      <c r="AR69" s="8" t="n"/>
      <c r="AT69" s="8" t="n"/>
      <c r="AU69" s="8" t="n"/>
      <c r="AV69" s="8" t="n"/>
      <c r="AW69" s="8" t="n"/>
      <c r="AX69" s="8" t="n"/>
    </row>
    <row r="70">
      <c r="J70" s="8" t="n"/>
      <c r="K70" s="8" t="n"/>
      <c r="L70" s="8" t="n"/>
      <c r="M70" s="8" t="n"/>
      <c r="N70" s="8" t="n"/>
      <c r="P70" s="8" t="n"/>
      <c r="Q70" s="8" t="n"/>
      <c r="R70" s="8" t="n"/>
      <c r="S70" s="8" t="n"/>
      <c r="T70" s="8" t="n"/>
      <c r="V70" s="8" t="n"/>
      <c r="W70" s="8" t="n"/>
      <c r="X70" s="8" t="n"/>
      <c r="Y70" s="8" t="n"/>
      <c r="Z70" s="8" t="n"/>
      <c r="AB70" s="8" t="n"/>
      <c r="AC70" s="8" t="n"/>
      <c r="AD70" s="8" t="n"/>
      <c r="AE70" s="8" t="n"/>
      <c r="AF70" s="8" t="n"/>
      <c r="AH70" s="8" t="n"/>
      <c r="AI70" s="8" t="n"/>
      <c r="AJ70" s="8" t="n"/>
      <c r="AK70" s="8" t="n"/>
      <c r="AL70" s="8" t="n"/>
      <c r="AN70" s="8" t="n"/>
      <c r="AO70" s="8" t="n"/>
      <c r="AP70" s="8" t="n"/>
      <c r="AQ70" s="8" t="n"/>
      <c r="AR70" s="8" t="n"/>
      <c r="AT70" s="8" t="n"/>
      <c r="AU70" s="8" t="n"/>
      <c r="AV70" s="8" t="n"/>
      <c r="AW70" s="8" t="n"/>
      <c r="AX70" s="8" t="n"/>
    </row>
    <row r="71">
      <c r="J71" s="8" t="n"/>
      <c r="K71" s="8" t="n"/>
      <c r="L71" s="8" t="n"/>
      <c r="M71" s="8" t="n"/>
      <c r="N71" s="8" t="n"/>
      <c r="P71" s="8" t="n"/>
      <c r="Q71" s="8" t="n"/>
      <c r="R71" s="8" t="n"/>
      <c r="S71" s="8" t="n"/>
      <c r="T71" s="8" t="n"/>
      <c r="V71" s="8" t="n"/>
      <c r="W71" s="8" t="n"/>
      <c r="X71" s="8" t="n"/>
      <c r="Y71" s="8" t="n"/>
      <c r="Z71" s="8" t="n"/>
      <c r="AB71" s="8" t="n"/>
      <c r="AC71" s="8" t="n"/>
      <c r="AD71" s="8" t="n"/>
      <c r="AE71" s="8" t="n"/>
      <c r="AF71" s="8" t="n"/>
      <c r="AH71" s="8" t="n"/>
      <c r="AI71" s="8" t="n"/>
      <c r="AJ71" s="8" t="n"/>
      <c r="AK71" s="8" t="n"/>
      <c r="AL71" s="8" t="n"/>
      <c r="AN71" s="8" t="n"/>
      <c r="AO71" s="8" t="n"/>
      <c r="AP71" s="8" t="n"/>
      <c r="AQ71" s="8" t="n"/>
      <c r="AR71" s="8" t="n"/>
      <c r="AT71" s="8" t="n"/>
      <c r="AU71" s="8" t="n"/>
      <c r="AV71" s="8" t="n"/>
      <c r="AW71" s="8" t="n"/>
      <c r="AX71" s="8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B6:H11">
    <cfRule type="expression" priority="1" dxfId="3">
      <formula>B6=TODAY()</formula>
    </cfRule>
    <cfRule type="expression" priority="2" dxfId="4">
      <formula>ROW()-ROW($B$6)+1=$B$2</formula>
    </cfRule>
    <cfRule type="expression" priority="3" dxfId="5">
      <formula>MONTH(B6)&lt;&gt;$H$1</formula>
    </cfRule>
  </conditionalFormatting>
  <conditionalFormatting sqref="C15:H19">
    <cfRule type="expression" priority="4" dxfId="2">
      <formula>$B15=TRUE</formula>
    </cfRule>
  </conditionalFormatting>
  <conditionalFormatting sqref="C23:H27">
    <cfRule type="expression" priority="5" dxfId="2">
      <formula>$B23=TRUE</formula>
    </cfRule>
  </conditionalFormatting>
  <conditionalFormatting sqref="J5:N5">
    <cfRule type="expression" priority="6" dxfId="0">
      <formula>$N$5=TODAY()</formula>
    </cfRule>
    <cfRule type="expression" priority="7" dxfId="6">
      <formula>MONTH($N$5)&lt;&gt;$H$1</formula>
    </cfRule>
  </conditionalFormatting>
  <conditionalFormatting sqref="M47:N56">
    <cfRule type="expression" priority="8" dxfId="2">
      <formula>$J47=TRUE</formula>
    </cfRule>
  </conditionalFormatting>
  <conditionalFormatting sqref="P5:T5">
    <cfRule type="expression" priority="9" dxfId="0">
      <formula>$T$5=TODAY()</formula>
    </cfRule>
    <cfRule type="expression" priority="10" dxfId="6">
      <formula>MONTH($T$5)&lt;&gt;$H$1</formula>
    </cfRule>
  </conditionalFormatting>
  <conditionalFormatting sqref="S47:T56">
    <cfRule type="expression" priority="11" dxfId="2">
      <formula>$P47=TRUE</formula>
    </cfRule>
  </conditionalFormatting>
  <conditionalFormatting sqref="V5:Z5">
    <cfRule type="expression" priority="12" dxfId="0">
      <formula>$Z$5=TODAY()</formula>
    </cfRule>
    <cfRule type="expression" priority="13" dxfId="6">
      <formula>MONTH($Z$5)&lt;&gt;$H$1</formula>
    </cfRule>
  </conditionalFormatting>
  <conditionalFormatting sqref="Y47:Z56">
    <cfRule type="expression" priority="14" dxfId="2">
      <formula>$V47=TRUE</formula>
    </cfRule>
  </conditionalFormatting>
  <conditionalFormatting sqref="AB5:AF5">
    <cfRule type="expression" priority="15" dxfId="0">
      <formula>$AF$5=TODAY()</formula>
    </cfRule>
    <cfRule type="expression" priority="16" dxfId="6">
      <formula>MONTH($AF$5)&lt;&gt;$H$1</formula>
    </cfRule>
  </conditionalFormatting>
  <conditionalFormatting sqref="AE47:AF56">
    <cfRule type="expression" priority="17" dxfId="2">
      <formula>$AB47=TRUE</formula>
    </cfRule>
  </conditionalFormatting>
  <conditionalFormatting sqref="AH5:AL5">
    <cfRule type="expression" priority="18" dxfId="0">
      <formula>$AL$5=TODAY()</formula>
    </cfRule>
    <cfRule type="expression" priority="19" dxfId="6">
      <formula>MONTH($AL$5)&lt;&gt;$H$1</formula>
    </cfRule>
  </conditionalFormatting>
  <conditionalFormatting sqref="AK47:AL56">
    <cfRule type="expression" priority="20" dxfId="2">
      <formula>$AH47=TRUE</formula>
    </cfRule>
  </conditionalFormatting>
  <conditionalFormatting sqref="AN5:AR5">
    <cfRule type="expression" priority="21" dxfId="0">
      <formula>$AR$5=TODAY()</formula>
    </cfRule>
    <cfRule type="expression" priority="22" dxfId="6">
      <formula>MONTH($AR$5)&lt;&gt;$H$1</formula>
    </cfRule>
  </conditionalFormatting>
  <conditionalFormatting sqref="AQ47:AR56">
    <cfRule type="expression" priority="23" dxfId="2">
      <formula>$AN47=TRUE</formula>
    </cfRule>
  </conditionalFormatting>
  <conditionalFormatting sqref="AT5:AX5">
    <cfRule type="expression" priority="24" dxfId="0">
      <formula>$AX$5=TODAY()</formula>
    </cfRule>
    <cfRule type="expression" priority="25" dxfId="6">
      <formula>MONTH($AX$5)&lt;&gt;$H$1</formula>
    </cfRule>
  </conditionalFormatting>
  <conditionalFormatting sqref="AW47:AX56">
    <cfRule type="expression" priority="26" dxfId="2">
      <formula>$AT47=TRUE</formula>
    </cfRule>
  </conditionalFormatting>
  <conditionalFormatting sqref="K47:K56 Q47:Q56 W47:W56 AC47:AC56 AI47:AI56 AO47:AO56 AU47:AU56">
    <cfRule type="expression" priority="27" dxfId="7">
      <formula>AND(K47&lt;&gt;"",K47=INDIRECT("Settings!$B$12"))</formula>
    </cfRule>
    <cfRule type="expression" priority="28" dxfId="8">
      <formula>AND(K47&lt;&gt;"",K47=INDIRECT("Settings!$B$13"))</formula>
    </cfRule>
    <cfRule type="expression" priority="29" dxfId="9">
      <formula>AND(K47&lt;&gt;"",K47=INDIRECT("Settings!$B$14"))</formula>
    </cfRule>
    <cfRule type="expression" priority="30" dxfId="10">
      <formula>AND(K47&lt;&gt;"",K47=INDIRECT("Settings!$B$15"))</formula>
    </cfRule>
    <cfRule type="expression" priority="31" dxfId="11">
      <formula>AND(K47&lt;&gt;"",K47=INDIRECT("Settings!$B$16"))</formula>
    </cfRule>
    <cfRule type="expression" priority="32" dxfId="12">
      <formula>AND(K47&lt;&gt;"",K47=INDIRECT("Settings!$B$17"))</formula>
    </cfRule>
    <cfRule type="expression" priority="33" dxfId="13">
      <formula>AND(K47&lt;&gt;"",K47=INDIRECT("Settings!$B$18"))</formula>
    </cfRule>
    <cfRule type="expression" priority="58" dxfId="14">
      <formula>AND(K47&lt;&gt;"",COUNTIF(INDIRECT("Settings!B12:B18"),K47)=0)</formula>
    </cfRule>
  </conditionalFormatting>
  <conditionalFormatting sqref="L47:L56 R47:R56 X47:X56 AD47:AD56 AJ47:AJ56 AP47:AP56 AV47:AV56">
    <cfRule type="expression" priority="34" dxfId="15">
      <formula>AND(L47&lt;&gt;"",L47=INDIRECT("Settings!$B$22"))</formula>
    </cfRule>
    <cfRule type="expression" priority="36" dxfId="16">
      <formula>AND(L47&lt;&gt;"",L47=INDIRECT("Settings!$B$23"))</formula>
    </cfRule>
    <cfRule type="expression" priority="38" dxfId="17">
      <formula>AND(L47&lt;&gt;"",L47=INDIRECT("Settings!$B$24"))</formula>
    </cfRule>
    <cfRule type="expression" priority="40" dxfId="18">
      <formula>AND(L47&lt;&gt;"",L47=INDIRECT("Settings!$B$25"))</formula>
    </cfRule>
    <cfRule type="expression" priority="42" dxfId="19">
      <formula>AND(L47&lt;&gt;"",L47=INDIRECT("Settings!$B$26"))</formula>
    </cfRule>
    <cfRule type="expression" priority="44" dxfId="20">
      <formula>AND(L47&lt;&gt;"",L47=INDIRECT("Settings!$B$27"))</formula>
    </cfRule>
    <cfRule type="expression" priority="46" dxfId="21">
      <formula>AND(L47&lt;&gt;"",L47=INDIRECT("Settings!$B$28"))</formula>
    </cfRule>
    <cfRule type="expression" priority="48" dxfId="22">
      <formula>AND(L47&lt;&gt;"",L47=INDIRECT("Settings!$B$29"))</formula>
    </cfRule>
    <cfRule type="expression" priority="50" dxfId="23">
      <formula>AND(L47&lt;&gt;"",L47=INDIRECT("Settings!$B$30"))</formula>
    </cfRule>
    <cfRule type="expression" priority="52" dxfId="24">
      <formula>AND(L47&lt;&gt;"",L47=INDIRECT("Settings!$B$31"))</formula>
    </cfRule>
    <cfRule type="expression" priority="54" dxfId="25">
      <formula>AND(L47&lt;&gt;"",L47=INDIRECT("Settings!$B$32"))</formula>
    </cfRule>
    <cfRule type="expression" priority="56" dxfId="26">
      <formula>AND(L47&lt;&gt;"",L47=INDIRECT("Settings!$B$33"))</formula>
    </cfRule>
    <cfRule type="expression" priority="59" dxfId="14">
      <formula>AND(L47&lt;&gt;"",COUNTIF(INDIRECT("Settings!B22:B33"),L47)=0)</formula>
    </cfRule>
  </conditionalFormatting>
  <conditionalFormatting sqref="N9:N44 T9:T44 Z9:Z44 AF9:AF44 AL9:AL44 AR9:AR44 AX9:AX44">
    <cfRule type="expression" priority="35" dxfId="15">
      <formula>AND(N9&lt;&gt;"",N9=INDIRECT("Settings!$B$22"))</formula>
    </cfRule>
    <cfRule type="expression" priority="37" dxfId="16">
      <formula>AND(N9&lt;&gt;"",N9=INDIRECT("Settings!$B$23"))</formula>
    </cfRule>
    <cfRule type="expression" priority="39" dxfId="17">
      <formula>AND(N9&lt;&gt;"",N9=INDIRECT("Settings!$B$24"))</formula>
    </cfRule>
    <cfRule type="expression" priority="41" dxfId="18">
      <formula>AND(N9&lt;&gt;"",N9=INDIRECT("Settings!$B$25"))</formula>
    </cfRule>
    <cfRule type="expression" priority="43" dxfId="19">
      <formula>AND(N9&lt;&gt;"",N9=INDIRECT("Settings!$B$26"))</formula>
    </cfRule>
    <cfRule type="expression" priority="45" dxfId="20">
      <formula>AND(N9&lt;&gt;"",N9=INDIRECT("Settings!$B$27"))</formula>
    </cfRule>
    <cfRule type="expression" priority="47" dxfId="21">
      <formula>AND(N9&lt;&gt;"",N9=INDIRECT("Settings!$B$28"))</formula>
    </cfRule>
    <cfRule type="expression" priority="49" dxfId="22">
      <formula>AND(N9&lt;&gt;"",N9=INDIRECT("Settings!$B$29"))</formula>
    </cfRule>
    <cfRule type="expression" priority="51" dxfId="23">
      <formula>AND(N9&lt;&gt;"",N9=INDIRECT("Settings!$B$30"))</formula>
    </cfRule>
    <cfRule type="expression" priority="53" dxfId="24">
      <formula>AND(N9&lt;&gt;"",N9=INDIRECT("Settings!$B$31"))</formula>
    </cfRule>
    <cfRule type="expression" priority="55" dxfId="25">
      <formula>AND(N9&lt;&gt;"",N9=INDIRECT("Settings!$B$32"))</formula>
    </cfRule>
    <cfRule type="expression" priority="57" dxfId="26">
      <formula>AND(N9&lt;&gt;"",N9=INDIRECT("Settings!$B$33"))</formula>
    </cfRule>
    <cfRule type="expression" priority="60" dxfId="14">
      <formula>AND(N9&lt;&gt;"",COUNTIF(INDIRECT("Settings!B22:B33"),N9)=0)</formula>
    </cfRule>
  </conditionalFormatting>
  <conditionalFormatting sqref="B4:BJ71">
    <cfRule type="expression" priority="61" dxfId="5">
      <formula>$B$3&lt;&gt;""</formula>
    </cfRule>
  </conditionalFormatting>
  <conditionalFormatting sqref="BB6:BH26">
    <cfRule type="expression" priority="62" dxfId="27">
      <formula>BB6=TRUE</formula>
    </cfRule>
  </conditionalFormatting>
  <conditionalFormatting sqref="BA6:BJ26">
    <cfRule type="expression" priority="63" dxfId="28">
      <formula>$BA6=""</formula>
    </cfRule>
  </conditionalFormatting>
  <dataValidations count="7">
    <dataValidation sqref="K47:K56 Q47:Q56 W47:W56 AC47:AC56 AI47:AI56 AO47:AO56 AU47:AU56" showDropDown="0" showInputMessage="0" showErrorMessage="0" allowBlank="1" type="list">
      <formula1>=Settings!$B$12:$B$18</formula1>
    </dataValidation>
    <dataValidation sqref="L47:L56 N9:N44 R47:R56 T9:T44 X47:X56 Z9:Z44 AD47:AD56 AF9:AF44 AJ47:AJ56 AL9:AL44 AP47:AP56 AR9:AR44 AV47:AV56 AX9:AX44" showDropDown="0" showInputMessage="0" showErrorMessage="0" allowBlank="1" type="list">
      <formula1>=Settings!$B$22:$B$33</formula1>
    </dataValidation>
    <dataValidation sqref="BB31:BH31" showDropDown="0" showInputMessage="0" showErrorMessage="1" allowBlank="1" errorTitle="Out of range" error="Value must be between Min and Max set on the Settings tab." type="decimal" operator="between">
      <formula1>Settings!$D$61</formula1>
      <formula2>Settings!$E$61</formula2>
    </dataValidation>
    <dataValidation sqref="BB33:BH33" showDropDown="0" showInputMessage="0" showErrorMessage="1" allowBlank="1" errorTitle="Out of range" error="Value must be between Min and Max set on the Settings tab." type="decimal" operator="between">
      <formula1>Settings!$D$62</formula1>
      <formula2>Settings!$E$62</formula2>
    </dataValidation>
    <dataValidation sqref="BB35:BH35" showDropDown="0" showInputMessage="0" showErrorMessage="1" allowBlank="1" errorTitle="Out of range" error="Value must be between Min and Max set on the Settings tab." type="decimal" operator="between">
      <formula1>Settings!$D$63</formula1>
      <formula2>Settings!$E$63</formula2>
    </dataValidation>
    <dataValidation sqref="BB37:BH37" showDropDown="0" showInputMessage="0" showErrorMessage="1" allowBlank="1" errorTitle="Out of range" error="Value must be between Min and Max set on the Settings tab." type="decimal" operator="between">
      <formula1>Settings!$D$64</formula1>
      <formula2>Settings!$E$64</formula2>
    </dataValidation>
    <dataValidation sqref="BB39:BH39" showDropDown="0" showInputMessage="0" showErrorMessage="1" allowBlank="1" errorTitle="Out of range" error="Value must be between Min and Max set on the Settings tab." type="decimal" operator="between">
      <formula1>Settings!$D$65</formula1>
      <formula2>Settings!$E$65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7C8F"/>
    <outlinePr summaryBelow="1" summaryRight="1"/>
    <pageSetUpPr fitToPage="1"/>
  </sheetPr>
  <dimension ref="B1:BT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3" customWidth="1" min="9" max="9"/>
    <col width="11" customWidth="1" min="10" max="10"/>
    <col width="11" customWidth="1" min="11" max="11"/>
    <col width="13" customWidth="1" min="12" max="12"/>
    <col width="20" customWidth="1" min="13" max="13"/>
    <col width="13" customWidth="1" min="14" max="14"/>
    <col width="3" customWidth="1" min="15" max="15"/>
    <col width="11" customWidth="1" min="16" max="16"/>
    <col width="11" customWidth="1" min="17" max="17"/>
    <col width="13" customWidth="1" min="18" max="18"/>
    <col width="20" customWidth="1" min="19" max="19"/>
    <col width="13" customWidth="1" min="20" max="20"/>
    <col width="3" customWidth="1" min="21" max="21"/>
    <col width="11" customWidth="1" min="22" max="22"/>
    <col width="11" customWidth="1" min="23" max="23"/>
    <col width="13" customWidth="1" min="24" max="24"/>
    <col width="20" customWidth="1" min="25" max="25"/>
    <col width="13" customWidth="1" min="26" max="26"/>
    <col width="3" customWidth="1" min="27" max="27"/>
    <col width="11" customWidth="1" min="28" max="28"/>
    <col width="11" customWidth="1" min="29" max="29"/>
    <col width="13" customWidth="1" min="30" max="30"/>
    <col width="20" customWidth="1" min="31" max="31"/>
    <col width="13" customWidth="1" min="32" max="32"/>
    <col width="3" customWidth="1" min="33" max="33"/>
    <col width="11" customWidth="1" min="34" max="34"/>
    <col width="11" customWidth="1" min="35" max="35"/>
    <col width="13" customWidth="1" min="36" max="36"/>
    <col width="20" customWidth="1" min="37" max="37"/>
    <col width="13" customWidth="1" min="38" max="38"/>
    <col width="3" customWidth="1" min="39" max="39"/>
    <col width="11" customWidth="1" min="40" max="40"/>
    <col width="11" customWidth="1" min="41" max="41"/>
    <col width="13" customWidth="1" min="42" max="42"/>
    <col width="20" customWidth="1" min="43" max="43"/>
    <col width="13" customWidth="1" min="44" max="44"/>
    <col width="3" customWidth="1" min="45" max="45"/>
    <col width="11" customWidth="1" min="46" max="46"/>
    <col width="11" customWidth="1" min="47" max="47"/>
    <col width="13" customWidth="1" min="48" max="48"/>
    <col width="20" customWidth="1" min="49" max="49"/>
    <col width="13" customWidth="1" min="50" max="50"/>
    <col width="3" customWidth="1" min="51" max="51"/>
    <col width="3" customWidth="1" min="52" max="52"/>
    <col width="26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9" customWidth="1" min="61" max="61"/>
    <col width="14" customWidth="1" min="62" max="62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B1" s="24">
        <f>Calc!M3&amp;"  ·  "&amp;INDEX(Calc!$F$10:$F$15,$B$2)</f>
        <v/>
      </c>
      <c r="H1" s="25">
        <f>Calc!$B$1</f>
        <v/>
      </c>
    </row>
    <row r="2">
      <c r="B2" s="26" t="n">
        <v>4</v>
      </c>
      <c r="D2" s="17">
        <f>HYPERLINK("#'Month'!A1","◀ Month")</f>
        <v/>
      </c>
      <c r="F2" s="17">
        <f>HYPERLINK("#'W3'!A1","‹ Prev")</f>
        <v/>
      </c>
      <c r="H2" s="17">
        <f>HYPERLINK("#'W5'!A1","Next ›")</f>
        <v/>
      </c>
    </row>
    <row r="3">
      <c r="B3" s="27">
        <f>IF(INDEX(Calc!$E$10:$E$15,$B$2),"","This week is not used in "&amp;Calc!$M$2&amp;".")</f>
        <v/>
      </c>
    </row>
    <row r="4">
      <c r="BA4" s="6">
        <f>IF(Settings!$C$100="",Settings!$B$100,Settings!$C$100)</f>
        <v/>
      </c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</row>
    <row r="5">
      <c r="B5" s="28">
        <f>LEFT(Calc!D1,2)</f>
        <v/>
      </c>
      <c r="C5" s="28">
        <f>LEFT(Calc!E1,2)</f>
        <v/>
      </c>
      <c r="D5" s="28">
        <f>LEFT(Calc!F1,2)</f>
        <v/>
      </c>
      <c r="E5" s="28">
        <f>LEFT(Calc!G1,2)</f>
        <v/>
      </c>
      <c r="F5" s="28">
        <f>LEFT(Calc!H1,2)</f>
        <v/>
      </c>
      <c r="G5" s="28">
        <f>LEFT(Calc!I1,2)</f>
        <v/>
      </c>
      <c r="H5" s="28">
        <f>LEFT(Calc!J1,2)</f>
        <v/>
      </c>
      <c r="J5" s="29">
        <f>IF(INDEX(Settings!$C$69:$C$75,WEEKDAY($N$5,1))="",INDEX(Settings!$B$69:$B$75,WEEKDAY($N$5,1)),INDEX(Settings!$C$69:$C$75,WEEKDAY($N$5,1)))</f>
        <v/>
      </c>
      <c r="K5" s="29" t="n"/>
      <c r="L5" s="29" t="n"/>
      <c r="M5" s="29" t="n"/>
      <c r="N5" s="30">
        <f>INDEX(Calc!$D$3:$J$8,$B$2,1)</f>
        <v/>
      </c>
      <c r="P5" s="29">
        <f>IF(INDEX(Settings!$C$69:$C$75,WEEKDAY($T$5,1))="",INDEX(Settings!$B$69:$B$75,WEEKDAY($T$5,1)),INDEX(Settings!$C$69:$C$75,WEEKDAY($T$5,1)))</f>
        <v/>
      </c>
      <c r="Q5" s="29" t="n"/>
      <c r="R5" s="29" t="n"/>
      <c r="S5" s="29" t="n"/>
      <c r="T5" s="30">
        <f>INDEX(Calc!$D$3:$J$8,$B$2,2)</f>
        <v/>
      </c>
      <c r="V5" s="29">
        <f>IF(INDEX(Settings!$C$69:$C$75,WEEKDAY($Z$5,1))="",INDEX(Settings!$B$69:$B$75,WEEKDAY($Z$5,1)),INDEX(Settings!$C$69:$C$75,WEEKDAY($Z$5,1)))</f>
        <v/>
      </c>
      <c r="W5" s="29" t="n"/>
      <c r="X5" s="29" t="n"/>
      <c r="Y5" s="29" t="n"/>
      <c r="Z5" s="30">
        <f>INDEX(Calc!$D$3:$J$8,$B$2,3)</f>
        <v/>
      </c>
      <c r="AB5" s="29">
        <f>IF(INDEX(Settings!$C$69:$C$75,WEEKDAY($AF$5,1))="",INDEX(Settings!$B$69:$B$75,WEEKDAY($AF$5,1)),INDEX(Settings!$C$69:$C$75,WEEKDAY($AF$5,1)))</f>
        <v/>
      </c>
      <c r="AC5" s="29" t="n"/>
      <c r="AD5" s="29" t="n"/>
      <c r="AE5" s="29" t="n"/>
      <c r="AF5" s="30">
        <f>INDEX(Calc!$D$3:$J$8,$B$2,4)</f>
        <v/>
      </c>
      <c r="AH5" s="29">
        <f>IF(INDEX(Settings!$C$69:$C$75,WEEKDAY($AL$5,1))="",INDEX(Settings!$B$69:$B$75,WEEKDAY($AL$5,1)),INDEX(Settings!$C$69:$C$75,WEEKDAY($AL$5,1)))</f>
        <v/>
      </c>
      <c r="AI5" s="29" t="n"/>
      <c r="AJ5" s="29" t="n"/>
      <c r="AK5" s="29" t="n"/>
      <c r="AL5" s="30">
        <f>INDEX(Calc!$D$3:$J$8,$B$2,5)</f>
        <v/>
      </c>
      <c r="AN5" s="29">
        <f>IF(INDEX(Settings!$C$69:$C$75,WEEKDAY($AR$5,1))="",INDEX(Settings!$B$69:$B$75,WEEKDAY($AR$5,1)),INDEX(Settings!$C$69:$C$75,WEEKDAY($AR$5,1)))</f>
        <v/>
      </c>
      <c r="AO5" s="29" t="n"/>
      <c r="AP5" s="29" t="n"/>
      <c r="AQ5" s="29" t="n"/>
      <c r="AR5" s="30">
        <f>INDEX(Calc!$D$3:$J$8,$B$2,6)</f>
        <v/>
      </c>
      <c r="AT5" s="29">
        <f>IF(INDEX(Settings!$C$69:$C$75,WEEKDAY($AX$5,1))="",INDEX(Settings!$B$69:$B$75,WEEKDAY($AX$5,1)),INDEX(Settings!$C$69:$C$75,WEEKDAY($AX$5,1)))</f>
        <v/>
      </c>
      <c r="AU5" s="29" t="n"/>
      <c r="AV5" s="29" t="n"/>
      <c r="AW5" s="29" t="n"/>
      <c r="AX5" s="30">
        <f>INDEX(Calc!$D$3:$J$8,$B$2,7)</f>
        <v/>
      </c>
      <c r="BA5" s="31" t="n"/>
      <c r="BB5" s="32">
        <f>LEFT(IF(INDEX(Settings!$C$69:$C$75,WEEKDAY(INDEX(Calc!$D$3:$J$8,$B$2,1),1))="",INDEX(Settings!$B$69:$B$75,WEEKDAY(INDEX(Calc!$D$3:$J$8,$B$2,1),1)),INDEX(Settings!$C$69:$C$75,WEEKDAY(INDEX(Calc!$D$3:$J$8,$B$2,1),1))),3)</f>
        <v/>
      </c>
      <c r="BC5" s="32">
        <f>LEFT(IF(INDEX(Settings!$C$69:$C$75,WEEKDAY(INDEX(Calc!$D$3:$J$8,$B$2,2),1))="",INDEX(Settings!$B$69:$B$75,WEEKDAY(INDEX(Calc!$D$3:$J$8,$B$2,2),1)),INDEX(Settings!$C$69:$C$75,WEEKDAY(INDEX(Calc!$D$3:$J$8,$B$2,2),1))),3)</f>
        <v/>
      </c>
      <c r="BD5" s="32">
        <f>LEFT(IF(INDEX(Settings!$C$69:$C$75,WEEKDAY(INDEX(Calc!$D$3:$J$8,$B$2,3),1))="",INDEX(Settings!$B$69:$B$75,WEEKDAY(INDEX(Calc!$D$3:$J$8,$B$2,3),1)),INDEX(Settings!$C$69:$C$75,WEEKDAY(INDEX(Calc!$D$3:$J$8,$B$2,3),1))),3)</f>
        <v/>
      </c>
      <c r="BE5" s="32">
        <f>LEFT(IF(INDEX(Settings!$C$69:$C$75,WEEKDAY(INDEX(Calc!$D$3:$J$8,$B$2,4),1))="",INDEX(Settings!$B$69:$B$75,WEEKDAY(INDEX(Calc!$D$3:$J$8,$B$2,4),1)),INDEX(Settings!$C$69:$C$75,WEEKDAY(INDEX(Calc!$D$3:$J$8,$B$2,4),1))),3)</f>
        <v/>
      </c>
      <c r="BF5" s="32">
        <f>LEFT(IF(INDEX(Settings!$C$69:$C$75,WEEKDAY(INDEX(Calc!$D$3:$J$8,$B$2,5),1))="",INDEX(Settings!$B$69:$B$75,WEEKDAY(INDEX(Calc!$D$3:$J$8,$B$2,5),1)),INDEX(Settings!$C$69:$C$75,WEEKDAY(INDEX(Calc!$D$3:$J$8,$B$2,5),1))),3)</f>
        <v/>
      </c>
      <c r="BG5" s="32">
        <f>LEFT(IF(INDEX(Settings!$C$69:$C$75,WEEKDAY(INDEX(Calc!$D$3:$J$8,$B$2,6),1))="",INDEX(Settings!$B$69:$B$75,WEEKDAY(INDEX(Calc!$D$3:$J$8,$B$2,6),1)),INDEX(Settings!$C$69:$C$75,WEEKDAY(INDEX(Calc!$D$3:$J$8,$B$2,6),1))),3)</f>
        <v/>
      </c>
      <c r="BH5" s="32">
        <f>LEFT(IF(INDEX(Settings!$C$69:$C$75,WEEKDAY(INDEX(Calc!$D$3:$J$8,$B$2,7),1))="",INDEX(Settings!$B$69:$B$75,WEEKDAY(INDEX(Calc!$D$3:$J$8,$B$2,7),1)),INDEX(Settings!$C$69:$C$75,WEEKDAY(INDEX(Calc!$D$3:$J$8,$B$2,7),1))),3)</f>
        <v/>
      </c>
      <c r="BI5" s="32" t="inlineStr">
        <is>
          <t>%</t>
        </is>
      </c>
      <c r="BJ5" s="31" t="inlineStr">
        <is>
          <t>Progress</t>
        </is>
      </c>
    </row>
    <row r="6">
      <c r="B6" s="33">
        <f>Calc!D3</f>
        <v/>
      </c>
      <c r="C6" s="33">
        <f>Calc!E3</f>
        <v/>
      </c>
      <c r="D6" s="33">
        <f>Calc!F3</f>
        <v/>
      </c>
      <c r="E6" s="33">
        <f>Calc!G3</f>
        <v/>
      </c>
      <c r="F6" s="33">
        <f>Calc!H3</f>
        <v/>
      </c>
      <c r="G6" s="33">
        <f>Calc!I3</f>
        <v/>
      </c>
      <c r="H6" s="33">
        <f>Calc!J3</f>
        <v/>
      </c>
      <c r="J6" s="34">
        <f>IFERROR(SUMPRODUCT((M47:M56&lt;&gt;"")*(J47:J56=TRUE))/SUMPRODUCT((M47:M56&lt;&gt;"")*1),0)</f>
        <v/>
      </c>
      <c r="K6" s="35">
        <f>IF(J6="","",REPT("█",ROUND(J6*14,0))&amp;REPT("░",14-ROUND(J6*14,0)))</f>
        <v/>
      </c>
      <c r="L6" s="13" t="n"/>
      <c r="M6" s="13" t="n"/>
      <c r="N6" s="13" t="n"/>
      <c r="P6" s="34">
        <f>IFERROR(SUMPRODUCT((S47:S56&lt;&gt;"")*(P47:P56=TRUE))/SUMPRODUCT((S47:S56&lt;&gt;"")*1),0)</f>
        <v/>
      </c>
      <c r="Q6" s="35">
        <f>IF(P6="","",REPT("█",ROUND(P6*14,0))&amp;REPT("░",14-ROUND(P6*14,0)))</f>
        <v/>
      </c>
      <c r="R6" s="13" t="n"/>
      <c r="S6" s="13" t="n"/>
      <c r="T6" s="13" t="n"/>
      <c r="V6" s="34">
        <f>IFERROR(SUMPRODUCT((Y47:Y56&lt;&gt;"")*(V47:V56=TRUE))/SUMPRODUCT((Y47:Y56&lt;&gt;"")*1),0)</f>
        <v/>
      </c>
      <c r="W6" s="35">
        <f>IF(V6="","",REPT("█",ROUND(V6*14,0))&amp;REPT("░",14-ROUND(V6*14,0)))</f>
        <v/>
      </c>
      <c r="X6" s="13" t="n"/>
      <c r="Y6" s="13" t="n"/>
      <c r="Z6" s="13" t="n"/>
      <c r="AB6" s="34">
        <f>IFERROR(SUMPRODUCT((AE47:AE56&lt;&gt;"")*(AB47:AB56=TRUE))/SUMPRODUCT((AE47:AE56&lt;&gt;"")*1),0)</f>
        <v/>
      </c>
      <c r="AC6" s="35">
        <f>IF(AB6="","",REPT("█",ROUND(AB6*14,0))&amp;REPT("░",14-ROUND(AB6*14,0)))</f>
        <v/>
      </c>
      <c r="AD6" s="13" t="n"/>
      <c r="AE6" s="13" t="n"/>
      <c r="AF6" s="13" t="n"/>
      <c r="AH6" s="34">
        <f>IFERROR(SUMPRODUCT((AK47:AK56&lt;&gt;"")*(AH47:AH56=TRUE))/SUMPRODUCT((AK47:AK56&lt;&gt;"")*1),0)</f>
        <v/>
      </c>
      <c r="AI6" s="35">
        <f>IF(AH6="","",REPT("█",ROUND(AH6*14,0))&amp;REPT("░",14-ROUND(AH6*14,0)))</f>
        <v/>
      </c>
      <c r="AJ6" s="13" t="n"/>
      <c r="AK6" s="13" t="n"/>
      <c r="AL6" s="13" t="n"/>
      <c r="AN6" s="34">
        <f>IFERROR(SUMPRODUCT((AQ47:AQ56&lt;&gt;"")*(AN47:AN56=TRUE))/SUMPRODUCT((AQ47:AQ56&lt;&gt;"")*1),0)</f>
        <v/>
      </c>
      <c r="AO6" s="35">
        <f>IF(AN6="","",REPT("█",ROUND(AN6*14,0))&amp;REPT("░",14-ROUND(AN6*14,0)))</f>
        <v/>
      </c>
      <c r="AP6" s="13" t="n"/>
      <c r="AQ6" s="13" t="n"/>
      <c r="AR6" s="13" t="n"/>
      <c r="AT6" s="34">
        <f>IFERROR(SUMPRODUCT((AW47:AW56&lt;&gt;"")*(AT47:AT56=TRUE))/SUMPRODUCT((AW47:AW56&lt;&gt;"")*1),0)</f>
        <v/>
      </c>
      <c r="AU6" s="35">
        <f>IF(AT6="","",REPT("█",ROUND(AT6*14,0))&amp;REPT("░",14-ROUND(AT6*14,0)))</f>
        <v/>
      </c>
      <c r="AV6" s="13" t="n"/>
      <c r="AW6" s="13" t="n"/>
      <c r="AX6" s="13" t="n"/>
      <c r="BA6" s="13">
        <f>IF(Settings!$B$37="","",Settings!$B$37)</f>
        <v/>
      </c>
      <c r="BB6" s="14" t="b">
        <v>0</v>
      </c>
      <c r="BC6" s="14" t="b">
        <v>0</v>
      </c>
      <c r="BD6" s="14" t="b">
        <v>0</v>
      </c>
      <c r="BE6" s="14" t="b">
        <v>0</v>
      </c>
      <c r="BF6" s="14" t="b">
        <v>0</v>
      </c>
      <c r="BG6" s="14" t="b">
        <v>0</v>
      </c>
      <c r="BH6" s="14" t="b">
        <v>0</v>
      </c>
      <c r="BI6" s="34">
        <f>IF($BA6="","",COUNTIF(BB6:BH6,TRUE)/7)</f>
        <v/>
      </c>
      <c r="BJ6" s="36">
        <f>IF(BI6="","",REPT("█",ROUND(BI6*10,0))&amp;REPT("░",10-ROUND(BI6*10,0)))</f>
        <v/>
      </c>
    </row>
    <row r="7">
      <c r="B7" s="33">
        <f>Calc!D4</f>
        <v/>
      </c>
      <c r="C7" s="33">
        <f>Calc!E4</f>
        <v/>
      </c>
      <c r="D7" s="33">
        <f>Calc!F4</f>
        <v/>
      </c>
      <c r="E7" s="33">
        <f>Calc!G4</f>
        <v/>
      </c>
      <c r="F7" s="33">
        <f>Calc!H4</f>
        <v/>
      </c>
      <c r="G7" s="33">
        <f>Calc!I4</f>
        <v/>
      </c>
      <c r="H7" s="33">
        <f>Calc!J4</f>
        <v/>
      </c>
      <c r="BA7" s="13">
        <f>IF(Settings!$B$38="","",Settings!$B$38)</f>
        <v/>
      </c>
      <c r="BB7" s="14" t="b">
        <v>0</v>
      </c>
      <c r="BC7" s="14" t="b">
        <v>0</v>
      </c>
      <c r="BD7" s="14" t="b">
        <v>0</v>
      </c>
      <c r="BE7" s="14" t="b">
        <v>0</v>
      </c>
      <c r="BF7" s="14" t="b">
        <v>0</v>
      </c>
      <c r="BG7" s="14" t="b">
        <v>0</v>
      </c>
      <c r="BH7" s="14" t="b">
        <v>0</v>
      </c>
      <c r="BI7" s="34">
        <f>IF($BA7="","",COUNTIF(BB7:BH7,TRUE)/7)</f>
        <v/>
      </c>
      <c r="BJ7" s="36">
        <f>IF(BI7="","",REPT("█",ROUND(BI7*10,0))&amp;REPT("░",10-ROUND(BI7*10,0)))</f>
        <v/>
      </c>
    </row>
    <row r="8">
      <c r="B8" s="33">
        <f>Calc!D5</f>
        <v/>
      </c>
      <c r="C8" s="33">
        <f>Calc!E5</f>
        <v/>
      </c>
      <c r="D8" s="33">
        <f>Calc!F5</f>
        <v/>
      </c>
      <c r="E8" s="33">
        <f>Calc!G5</f>
        <v/>
      </c>
      <c r="F8" s="33">
        <f>Calc!H5</f>
        <v/>
      </c>
      <c r="G8" s="33">
        <f>Calc!I5</f>
        <v/>
      </c>
      <c r="H8" s="33">
        <f>Calc!J5</f>
        <v/>
      </c>
      <c r="J8" s="6">
        <f>IF(Settings!$C$98="",Settings!$B$98,Settings!$C$98)</f>
        <v/>
      </c>
      <c r="K8" s="6" t="n"/>
      <c r="L8" s="6" t="n"/>
      <c r="M8" s="6" t="n"/>
      <c r="N8" s="6" t="n"/>
      <c r="P8" s="6">
        <f>IF(Settings!$C$98="",Settings!$B$98,Settings!$C$98)</f>
        <v/>
      </c>
      <c r="Q8" s="6" t="n"/>
      <c r="R8" s="6" t="n"/>
      <c r="S8" s="6" t="n"/>
      <c r="T8" s="6" t="n"/>
      <c r="V8" s="6">
        <f>IF(Settings!$C$98="",Settings!$B$98,Settings!$C$98)</f>
        <v/>
      </c>
      <c r="W8" s="6" t="n"/>
      <c r="X8" s="6" t="n"/>
      <c r="Y8" s="6" t="n"/>
      <c r="Z8" s="6" t="n"/>
      <c r="AB8" s="6">
        <f>IF(Settings!$C$98="",Settings!$B$98,Settings!$C$98)</f>
        <v/>
      </c>
      <c r="AC8" s="6" t="n"/>
      <c r="AD8" s="6" t="n"/>
      <c r="AE8" s="6" t="n"/>
      <c r="AF8" s="6" t="n"/>
      <c r="AH8" s="6">
        <f>IF(Settings!$C$98="",Settings!$B$98,Settings!$C$98)</f>
        <v/>
      </c>
      <c r="AI8" s="6" t="n"/>
      <c r="AJ8" s="6" t="n"/>
      <c r="AK8" s="6" t="n"/>
      <c r="AL8" s="6" t="n"/>
      <c r="AN8" s="6">
        <f>IF(Settings!$C$98="",Settings!$B$98,Settings!$C$98)</f>
        <v/>
      </c>
      <c r="AO8" s="6" t="n"/>
      <c r="AP8" s="6" t="n"/>
      <c r="AQ8" s="6" t="n"/>
      <c r="AR8" s="6" t="n"/>
      <c r="AT8" s="6">
        <f>IF(Settings!$C$98="",Settings!$B$98,Settings!$C$98)</f>
        <v/>
      </c>
      <c r="AU8" s="6" t="n"/>
      <c r="AV8" s="6" t="n"/>
      <c r="AW8" s="6" t="n"/>
      <c r="AX8" s="6" t="n"/>
      <c r="BA8" s="13">
        <f>IF(Settings!$B$39="","",Settings!$B$39)</f>
        <v/>
      </c>
      <c r="BB8" s="14" t="b">
        <v>0</v>
      </c>
      <c r="BC8" s="14" t="b">
        <v>0</v>
      </c>
      <c r="BD8" s="14" t="b">
        <v>0</v>
      </c>
      <c r="BE8" s="14" t="b">
        <v>0</v>
      </c>
      <c r="BF8" s="14" t="b">
        <v>0</v>
      </c>
      <c r="BG8" s="14" t="b">
        <v>0</v>
      </c>
      <c r="BH8" s="14" t="b">
        <v>0</v>
      </c>
      <c r="BI8" s="34">
        <f>IF($BA8="","",COUNTIF(BB8:BH8,TRUE)/7)</f>
        <v/>
      </c>
      <c r="BJ8" s="36">
        <f>IF(BI8="","",REPT("█",ROUND(BI8*10,0))&amp;REPT("░",10-ROUND(BI8*10,0)))</f>
        <v/>
      </c>
    </row>
    <row r="9">
      <c r="B9" s="33">
        <f>Calc!D6</f>
        <v/>
      </c>
      <c r="C9" s="33">
        <f>Calc!E6</f>
        <v/>
      </c>
      <c r="D9" s="33">
        <f>Calc!F6</f>
        <v/>
      </c>
      <c r="E9" s="33">
        <f>Calc!G6</f>
        <v/>
      </c>
      <c r="F9" s="33">
        <f>Calc!H6</f>
        <v/>
      </c>
      <c r="G9" s="33">
        <f>Calc!I6</f>
        <v/>
      </c>
      <c r="H9" s="33">
        <f>Calc!J6</f>
        <v/>
      </c>
      <c r="J9" s="37">
        <f>IF(0*Settings!$C$7&gt;=1440,"",MOD(ROUND((Settings!$C$6+0*Settings!$C$7/1440)*1440,0),1440)/1440)</f>
        <v/>
      </c>
      <c r="K9" s="8" t="n"/>
      <c r="L9" s="8" t="n"/>
      <c r="M9" s="8" t="n"/>
      <c r="N9" s="8" t="n"/>
      <c r="P9" s="37">
        <f>IF(0*Settings!$C$7&gt;=1440,"",MOD(ROUND((Settings!$C$6+0*Settings!$C$7/1440)*1440,0),1440)/1440)</f>
        <v/>
      </c>
      <c r="Q9" s="8" t="n"/>
      <c r="R9" s="8" t="n"/>
      <c r="S9" s="8" t="n"/>
      <c r="T9" s="8" t="n"/>
      <c r="V9" s="37">
        <f>IF(0*Settings!$C$7&gt;=1440,"",MOD(ROUND((Settings!$C$6+0*Settings!$C$7/1440)*1440,0),1440)/1440)</f>
        <v/>
      </c>
      <c r="W9" s="8" t="n"/>
      <c r="X9" s="8" t="n"/>
      <c r="Y9" s="8" t="n"/>
      <c r="Z9" s="8" t="n"/>
      <c r="AB9" s="37">
        <f>IF(0*Settings!$C$7&gt;=1440,"",MOD(ROUND((Settings!$C$6+0*Settings!$C$7/1440)*1440,0),1440)/1440)</f>
        <v/>
      </c>
      <c r="AC9" s="8" t="n"/>
      <c r="AD9" s="8" t="n"/>
      <c r="AE9" s="8" t="n"/>
      <c r="AF9" s="8" t="n"/>
      <c r="AH9" s="37">
        <f>IF(0*Settings!$C$7&gt;=1440,"",MOD(ROUND((Settings!$C$6+0*Settings!$C$7/1440)*1440,0),1440)/1440)</f>
        <v/>
      </c>
      <c r="AI9" s="8" t="n"/>
      <c r="AJ9" s="8" t="n"/>
      <c r="AK9" s="8" t="n"/>
      <c r="AL9" s="8" t="n"/>
      <c r="AN9" s="37">
        <f>IF(0*Settings!$C$7&gt;=1440,"",MOD(ROUND((Settings!$C$6+0*Settings!$C$7/1440)*1440,0),1440)/1440)</f>
        <v/>
      </c>
      <c r="AO9" s="8" t="n"/>
      <c r="AP9" s="8" t="n"/>
      <c r="AQ9" s="8" t="n"/>
      <c r="AR9" s="8" t="n"/>
      <c r="AT9" s="37">
        <f>IF(0*Settings!$C$7&gt;=1440,"",MOD(ROUND((Settings!$C$6+0*Settings!$C$7/1440)*1440,0),1440)/1440)</f>
        <v/>
      </c>
      <c r="AU9" s="8" t="n"/>
      <c r="AV9" s="8" t="n"/>
      <c r="AW9" s="8" t="n"/>
      <c r="AX9" s="8" t="n"/>
      <c r="BA9" s="13">
        <f>IF(Settings!$B$40="","",Settings!$B$40)</f>
        <v/>
      </c>
      <c r="BB9" s="14" t="b">
        <v>0</v>
      </c>
      <c r="BC9" s="14" t="b">
        <v>0</v>
      </c>
      <c r="BD9" s="14" t="b">
        <v>0</v>
      </c>
      <c r="BE9" s="14" t="b">
        <v>0</v>
      </c>
      <c r="BF9" s="14" t="b">
        <v>0</v>
      </c>
      <c r="BG9" s="14" t="b">
        <v>0</v>
      </c>
      <c r="BH9" s="14" t="b">
        <v>0</v>
      </c>
      <c r="BI9" s="34">
        <f>IF($BA9="","",COUNTIF(BB9:BH9,TRUE)/7)</f>
        <v/>
      </c>
      <c r="BJ9" s="36">
        <f>IF(BI9="","",REPT("█",ROUND(BI9*10,0))&amp;REPT("░",10-ROUND(BI9*10,0)))</f>
        <v/>
      </c>
    </row>
    <row r="10">
      <c r="B10" s="33">
        <f>Calc!D7</f>
        <v/>
      </c>
      <c r="C10" s="33">
        <f>Calc!E7</f>
        <v/>
      </c>
      <c r="D10" s="33">
        <f>Calc!F7</f>
        <v/>
      </c>
      <c r="E10" s="33">
        <f>Calc!G7</f>
        <v/>
      </c>
      <c r="F10" s="33">
        <f>Calc!H7</f>
        <v/>
      </c>
      <c r="G10" s="33">
        <f>Calc!I7</f>
        <v/>
      </c>
      <c r="H10" s="33">
        <f>Calc!J7</f>
        <v/>
      </c>
      <c r="J10" s="37">
        <f>IF(1*Settings!$C$7&gt;=1440,"",MOD(ROUND((Settings!$C$6+1*Settings!$C$7/1440)*1440,0),1440)/1440)</f>
        <v/>
      </c>
      <c r="K10" s="8" t="n"/>
      <c r="L10" s="8" t="n"/>
      <c r="M10" s="8" t="n"/>
      <c r="N10" s="8" t="n"/>
      <c r="P10" s="37">
        <f>IF(1*Settings!$C$7&gt;=1440,"",MOD(ROUND((Settings!$C$6+1*Settings!$C$7/1440)*1440,0),1440)/1440)</f>
        <v/>
      </c>
      <c r="Q10" s="8" t="n"/>
      <c r="R10" s="8" t="n"/>
      <c r="S10" s="8" t="n"/>
      <c r="T10" s="8" t="n"/>
      <c r="V10" s="37">
        <f>IF(1*Settings!$C$7&gt;=1440,"",MOD(ROUND((Settings!$C$6+1*Settings!$C$7/1440)*1440,0),1440)/1440)</f>
        <v/>
      </c>
      <c r="W10" s="8" t="n"/>
      <c r="X10" s="8" t="n"/>
      <c r="Y10" s="8" t="n"/>
      <c r="Z10" s="8" t="n"/>
      <c r="AB10" s="37">
        <f>IF(1*Settings!$C$7&gt;=1440,"",MOD(ROUND((Settings!$C$6+1*Settings!$C$7/1440)*1440,0),1440)/1440)</f>
        <v/>
      </c>
      <c r="AC10" s="8" t="n"/>
      <c r="AD10" s="8" t="n"/>
      <c r="AE10" s="8" t="n"/>
      <c r="AF10" s="8" t="n"/>
      <c r="AH10" s="37">
        <f>IF(1*Settings!$C$7&gt;=1440,"",MOD(ROUND((Settings!$C$6+1*Settings!$C$7/1440)*1440,0),1440)/1440)</f>
        <v/>
      </c>
      <c r="AI10" s="8" t="n"/>
      <c r="AJ10" s="8" t="n"/>
      <c r="AK10" s="8" t="n"/>
      <c r="AL10" s="8" t="n"/>
      <c r="AN10" s="37">
        <f>IF(1*Settings!$C$7&gt;=1440,"",MOD(ROUND((Settings!$C$6+1*Settings!$C$7/1440)*1440,0),1440)/1440)</f>
        <v/>
      </c>
      <c r="AO10" s="8" t="n"/>
      <c r="AP10" s="8" t="n"/>
      <c r="AQ10" s="8" t="n"/>
      <c r="AR10" s="8" t="n"/>
      <c r="AT10" s="37">
        <f>IF(1*Settings!$C$7&gt;=1440,"",MOD(ROUND((Settings!$C$6+1*Settings!$C$7/1440)*1440,0),1440)/1440)</f>
        <v/>
      </c>
      <c r="AU10" s="8" t="n"/>
      <c r="AV10" s="8" t="n"/>
      <c r="AW10" s="8" t="n"/>
      <c r="AX10" s="8" t="n"/>
      <c r="BA10" s="13">
        <f>IF(Settings!$B$41="","",Settings!$B$41)</f>
        <v/>
      </c>
      <c r="BB10" s="14" t="b">
        <v>0</v>
      </c>
      <c r="BC10" s="14" t="b">
        <v>0</v>
      </c>
      <c r="BD10" s="14" t="b">
        <v>0</v>
      </c>
      <c r="BE10" s="14" t="b">
        <v>0</v>
      </c>
      <c r="BF10" s="14" t="b">
        <v>0</v>
      </c>
      <c r="BG10" s="14" t="b">
        <v>0</v>
      </c>
      <c r="BH10" s="14" t="b">
        <v>0</v>
      </c>
      <c r="BI10" s="34">
        <f>IF($BA10="","",COUNTIF(BB10:BH10,TRUE)/7)</f>
        <v/>
      </c>
      <c r="BJ10" s="36">
        <f>IF(BI10="","",REPT("█",ROUND(BI10*10,0))&amp;REPT("░",10-ROUND(BI10*10,0)))</f>
        <v/>
      </c>
    </row>
    <row r="11">
      <c r="B11" s="33">
        <f>Calc!D8</f>
        <v/>
      </c>
      <c r="C11" s="33">
        <f>Calc!E8</f>
        <v/>
      </c>
      <c r="D11" s="33">
        <f>Calc!F8</f>
        <v/>
      </c>
      <c r="E11" s="33">
        <f>Calc!G8</f>
        <v/>
      </c>
      <c r="F11" s="33">
        <f>Calc!H8</f>
        <v/>
      </c>
      <c r="G11" s="33">
        <f>Calc!I8</f>
        <v/>
      </c>
      <c r="H11" s="33">
        <f>Calc!J8</f>
        <v/>
      </c>
      <c r="J11" s="37">
        <f>IF(2*Settings!$C$7&gt;=1440,"",MOD(ROUND((Settings!$C$6+2*Settings!$C$7/1440)*1440,0),1440)/1440)</f>
        <v/>
      </c>
      <c r="K11" s="8" t="n"/>
      <c r="L11" s="8" t="n"/>
      <c r="M11" s="8" t="n"/>
      <c r="N11" s="8" t="n"/>
      <c r="P11" s="37">
        <f>IF(2*Settings!$C$7&gt;=1440,"",MOD(ROUND((Settings!$C$6+2*Settings!$C$7/1440)*1440,0),1440)/1440)</f>
        <v/>
      </c>
      <c r="Q11" s="8" t="n"/>
      <c r="R11" s="8" t="n"/>
      <c r="S11" s="8" t="n"/>
      <c r="T11" s="8" t="n"/>
      <c r="V11" s="37">
        <f>IF(2*Settings!$C$7&gt;=1440,"",MOD(ROUND((Settings!$C$6+2*Settings!$C$7/1440)*1440,0),1440)/1440)</f>
        <v/>
      </c>
      <c r="W11" s="8" t="n"/>
      <c r="X11" s="8" t="n"/>
      <c r="Y11" s="8" t="n"/>
      <c r="Z11" s="8" t="n"/>
      <c r="AB11" s="37">
        <f>IF(2*Settings!$C$7&gt;=1440,"",MOD(ROUND((Settings!$C$6+2*Settings!$C$7/1440)*1440,0),1440)/1440)</f>
        <v/>
      </c>
      <c r="AC11" s="8" t="n"/>
      <c r="AD11" s="8" t="n"/>
      <c r="AE11" s="8" t="n"/>
      <c r="AF11" s="8" t="n"/>
      <c r="AH11" s="37">
        <f>IF(2*Settings!$C$7&gt;=1440,"",MOD(ROUND((Settings!$C$6+2*Settings!$C$7/1440)*1440,0),1440)/1440)</f>
        <v/>
      </c>
      <c r="AI11" s="8" t="n"/>
      <c r="AJ11" s="8" t="n"/>
      <c r="AK11" s="8" t="n"/>
      <c r="AL11" s="8" t="n"/>
      <c r="AN11" s="37">
        <f>IF(2*Settings!$C$7&gt;=1440,"",MOD(ROUND((Settings!$C$6+2*Settings!$C$7/1440)*1440,0),1440)/1440)</f>
        <v/>
      </c>
      <c r="AO11" s="8" t="n"/>
      <c r="AP11" s="8" t="n"/>
      <c r="AQ11" s="8" t="n"/>
      <c r="AR11" s="8" t="n"/>
      <c r="AT11" s="37">
        <f>IF(2*Settings!$C$7&gt;=1440,"",MOD(ROUND((Settings!$C$6+2*Settings!$C$7/1440)*1440,0),1440)/1440)</f>
        <v/>
      </c>
      <c r="AU11" s="8" t="n"/>
      <c r="AV11" s="8" t="n"/>
      <c r="AW11" s="8" t="n"/>
      <c r="AX11" s="8" t="n"/>
      <c r="BA11" s="13">
        <f>IF(Settings!$B$42="","",Settings!$B$42)</f>
        <v/>
      </c>
      <c r="BB11" s="14" t="b">
        <v>0</v>
      </c>
      <c r="BC11" s="14" t="b">
        <v>0</v>
      </c>
      <c r="BD11" s="14" t="b">
        <v>0</v>
      </c>
      <c r="BE11" s="14" t="b">
        <v>0</v>
      </c>
      <c r="BF11" s="14" t="b">
        <v>0</v>
      </c>
      <c r="BG11" s="14" t="b">
        <v>0</v>
      </c>
      <c r="BH11" s="14" t="b">
        <v>0</v>
      </c>
      <c r="BI11" s="34">
        <f>IF($BA11="","",COUNTIF(BB11:BH11,TRUE)/7)</f>
        <v/>
      </c>
      <c r="BJ11" s="36">
        <f>IF(BI11="","",REPT("█",ROUND(BI11*10,0))&amp;REPT("░",10-ROUND(BI11*10,0)))</f>
        <v/>
      </c>
    </row>
    <row r="12">
      <c r="J12" s="37">
        <f>IF(3*Settings!$C$7&gt;=1440,"",MOD(ROUND((Settings!$C$6+3*Settings!$C$7/1440)*1440,0),1440)/1440)</f>
        <v/>
      </c>
      <c r="K12" s="8" t="n"/>
      <c r="L12" s="8" t="n"/>
      <c r="M12" s="8" t="n"/>
      <c r="N12" s="8" t="n"/>
      <c r="P12" s="37">
        <f>IF(3*Settings!$C$7&gt;=1440,"",MOD(ROUND((Settings!$C$6+3*Settings!$C$7/1440)*1440,0),1440)/1440)</f>
        <v/>
      </c>
      <c r="Q12" s="8" t="n"/>
      <c r="R12" s="8" t="n"/>
      <c r="S12" s="8" t="n"/>
      <c r="T12" s="8" t="n"/>
      <c r="V12" s="37">
        <f>IF(3*Settings!$C$7&gt;=1440,"",MOD(ROUND((Settings!$C$6+3*Settings!$C$7/1440)*1440,0),1440)/1440)</f>
        <v/>
      </c>
      <c r="W12" s="8" t="n"/>
      <c r="X12" s="8" t="n"/>
      <c r="Y12" s="8" t="n"/>
      <c r="Z12" s="8" t="n"/>
      <c r="AB12" s="37">
        <f>IF(3*Settings!$C$7&gt;=1440,"",MOD(ROUND((Settings!$C$6+3*Settings!$C$7/1440)*1440,0),1440)/1440)</f>
        <v/>
      </c>
      <c r="AC12" s="8" t="n"/>
      <c r="AD12" s="8" t="n"/>
      <c r="AE12" s="8" t="n"/>
      <c r="AF12" s="8" t="n"/>
      <c r="AH12" s="37">
        <f>IF(3*Settings!$C$7&gt;=1440,"",MOD(ROUND((Settings!$C$6+3*Settings!$C$7/1440)*1440,0),1440)/1440)</f>
        <v/>
      </c>
      <c r="AI12" s="8" t="n"/>
      <c r="AJ12" s="8" t="n"/>
      <c r="AK12" s="8" t="n"/>
      <c r="AL12" s="8" t="n"/>
      <c r="AN12" s="37">
        <f>IF(3*Settings!$C$7&gt;=1440,"",MOD(ROUND((Settings!$C$6+3*Settings!$C$7/1440)*1440,0),1440)/1440)</f>
        <v/>
      </c>
      <c r="AO12" s="8" t="n"/>
      <c r="AP12" s="8" t="n"/>
      <c r="AQ12" s="8" t="n"/>
      <c r="AR12" s="8" t="n"/>
      <c r="AT12" s="37">
        <f>IF(3*Settings!$C$7&gt;=1440,"",MOD(ROUND((Settings!$C$6+3*Settings!$C$7/1440)*1440,0),1440)/1440)</f>
        <v/>
      </c>
      <c r="AU12" s="8" t="n"/>
      <c r="AV12" s="8" t="n"/>
      <c r="AW12" s="8" t="n"/>
      <c r="AX12" s="8" t="n"/>
      <c r="BA12" s="13">
        <f>IF(Settings!$B$43="","",Settings!$B$43)</f>
        <v/>
      </c>
      <c r="BB12" s="14" t="b">
        <v>0</v>
      </c>
      <c r="BC12" s="14" t="b">
        <v>0</v>
      </c>
      <c r="BD12" s="14" t="b">
        <v>0</v>
      </c>
      <c r="BE12" s="14" t="b">
        <v>0</v>
      </c>
      <c r="BF12" s="14" t="b">
        <v>0</v>
      </c>
      <c r="BG12" s="14" t="b">
        <v>0</v>
      </c>
      <c r="BH12" s="14" t="b">
        <v>0</v>
      </c>
      <c r="BI12" s="34">
        <f>IF($BA12="","",COUNTIF(BB12:BH12,TRUE)/7)</f>
        <v/>
      </c>
      <c r="BJ12" s="36">
        <f>IF(BI12="","",REPT("█",ROUND(BI12*10,0))&amp;REPT("░",10-ROUND(BI12*10,0)))</f>
        <v/>
      </c>
    </row>
    <row r="13">
      <c r="J13" s="37">
        <f>IF(4*Settings!$C$7&gt;=1440,"",MOD(ROUND((Settings!$C$6+4*Settings!$C$7/1440)*1440,0),1440)/1440)</f>
        <v/>
      </c>
      <c r="K13" s="8" t="n"/>
      <c r="L13" s="8" t="n"/>
      <c r="M13" s="8" t="n"/>
      <c r="N13" s="8" t="n"/>
      <c r="P13" s="37">
        <f>IF(4*Settings!$C$7&gt;=1440,"",MOD(ROUND((Settings!$C$6+4*Settings!$C$7/1440)*1440,0),1440)/1440)</f>
        <v/>
      </c>
      <c r="Q13" s="8" t="n"/>
      <c r="R13" s="8" t="n"/>
      <c r="S13" s="8" t="n"/>
      <c r="T13" s="8" t="n"/>
      <c r="V13" s="37">
        <f>IF(4*Settings!$C$7&gt;=1440,"",MOD(ROUND((Settings!$C$6+4*Settings!$C$7/1440)*1440,0),1440)/1440)</f>
        <v/>
      </c>
      <c r="W13" s="8" t="n"/>
      <c r="X13" s="8" t="n"/>
      <c r="Y13" s="8" t="n"/>
      <c r="Z13" s="8" t="n"/>
      <c r="AB13" s="37">
        <f>IF(4*Settings!$C$7&gt;=1440,"",MOD(ROUND((Settings!$C$6+4*Settings!$C$7/1440)*1440,0),1440)/1440)</f>
        <v/>
      </c>
      <c r="AC13" s="8" t="n"/>
      <c r="AD13" s="8" t="n"/>
      <c r="AE13" s="8" t="n"/>
      <c r="AF13" s="8" t="n"/>
      <c r="AH13" s="37">
        <f>IF(4*Settings!$C$7&gt;=1440,"",MOD(ROUND((Settings!$C$6+4*Settings!$C$7/1440)*1440,0),1440)/1440)</f>
        <v/>
      </c>
      <c r="AI13" s="8" t="n"/>
      <c r="AJ13" s="8" t="n"/>
      <c r="AK13" s="8" t="n"/>
      <c r="AL13" s="8" t="n"/>
      <c r="AN13" s="37">
        <f>IF(4*Settings!$C$7&gt;=1440,"",MOD(ROUND((Settings!$C$6+4*Settings!$C$7/1440)*1440,0),1440)/1440)</f>
        <v/>
      </c>
      <c r="AO13" s="8" t="n"/>
      <c r="AP13" s="8" t="n"/>
      <c r="AQ13" s="8" t="n"/>
      <c r="AR13" s="8" t="n"/>
      <c r="AT13" s="37">
        <f>IF(4*Settings!$C$7&gt;=1440,"",MOD(ROUND((Settings!$C$6+4*Settings!$C$7/1440)*1440,0),1440)/1440)</f>
        <v/>
      </c>
      <c r="AU13" s="8" t="n"/>
      <c r="AV13" s="8" t="n"/>
      <c r="AW13" s="8" t="n"/>
      <c r="AX13" s="8" t="n"/>
      <c r="BA13" s="13">
        <f>IF(Settings!$B$44="","",Settings!$B$44)</f>
        <v/>
      </c>
      <c r="BB13" s="14" t="b">
        <v>0</v>
      </c>
      <c r="BC13" s="14" t="b">
        <v>0</v>
      </c>
      <c r="BD13" s="14" t="b">
        <v>0</v>
      </c>
      <c r="BE13" s="14" t="b">
        <v>0</v>
      </c>
      <c r="BF13" s="14" t="b">
        <v>0</v>
      </c>
      <c r="BG13" s="14" t="b">
        <v>0</v>
      </c>
      <c r="BH13" s="14" t="b">
        <v>0</v>
      </c>
      <c r="BI13" s="34">
        <f>IF($BA13="","",COUNTIF(BB13:BH13,TRUE)/7)</f>
        <v/>
      </c>
      <c r="BJ13" s="36">
        <f>IF(BI13="","",REPT("█",ROUND(BI13*10,0))&amp;REPT("░",10-ROUND(BI13*10,0)))</f>
        <v/>
      </c>
    </row>
    <row r="14">
      <c r="B14" s="6">
        <f>IF(Settings!$C$102="",Settings!$B$102,Settings!$C$102)</f>
        <v/>
      </c>
      <c r="C14" s="6" t="n"/>
      <c r="D14" s="6" t="n"/>
      <c r="E14" s="6" t="n"/>
      <c r="F14" s="6" t="n"/>
      <c r="G14" s="6" t="n"/>
      <c r="H14" s="21">
        <f>IFERROR(SUMPRODUCT((C15:C19&lt;&gt;"")*(B15:B19=TRUE))/SUMPRODUCT((C15:C19&lt;&gt;"")*1),0)</f>
        <v/>
      </c>
      <c r="J14" s="37">
        <f>IF(5*Settings!$C$7&gt;=1440,"",MOD(ROUND((Settings!$C$6+5*Settings!$C$7/1440)*1440,0),1440)/1440)</f>
        <v/>
      </c>
      <c r="K14" s="8" t="n"/>
      <c r="L14" s="8" t="n"/>
      <c r="M14" s="8" t="n"/>
      <c r="N14" s="8" t="n"/>
      <c r="P14" s="37">
        <f>IF(5*Settings!$C$7&gt;=1440,"",MOD(ROUND((Settings!$C$6+5*Settings!$C$7/1440)*1440,0),1440)/1440)</f>
        <v/>
      </c>
      <c r="Q14" s="8" t="n"/>
      <c r="R14" s="8" t="n"/>
      <c r="S14" s="8" t="n"/>
      <c r="T14" s="8" t="n"/>
      <c r="V14" s="37">
        <f>IF(5*Settings!$C$7&gt;=1440,"",MOD(ROUND((Settings!$C$6+5*Settings!$C$7/1440)*1440,0),1440)/1440)</f>
        <v/>
      </c>
      <c r="W14" s="8" t="n"/>
      <c r="X14" s="8" t="n"/>
      <c r="Y14" s="8" t="n"/>
      <c r="Z14" s="8" t="n"/>
      <c r="AB14" s="37">
        <f>IF(5*Settings!$C$7&gt;=1440,"",MOD(ROUND((Settings!$C$6+5*Settings!$C$7/1440)*1440,0),1440)/1440)</f>
        <v/>
      </c>
      <c r="AC14" s="8" t="n"/>
      <c r="AD14" s="8" t="n"/>
      <c r="AE14" s="8" t="n"/>
      <c r="AF14" s="8" t="n"/>
      <c r="AH14" s="37">
        <f>IF(5*Settings!$C$7&gt;=1440,"",MOD(ROUND((Settings!$C$6+5*Settings!$C$7/1440)*1440,0),1440)/1440)</f>
        <v/>
      </c>
      <c r="AI14" s="8" t="n"/>
      <c r="AJ14" s="8" t="n"/>
      <c r="AK14" s="8" t="n"/>
      <c r="AL14" s="8" t="n"/>
      <c r="AN14" s="37">
        <f>IF(5*Settings!$C$7&gt;=1440,"",MOD(ROUND((Settings!$C$6+5*Settings!$C$7/1440)*1440,0),1440)/1440)</f>
        <v/>
      </c>
      <c r="AO14" s="8" t="n"/>
      <c r="AP14" s="8" t="n"/>
      <c r="AQ14" s="8" t="n"/>
      <c r="AR14" s="8" t="n"/>
      <c r="AT14" s="37">
        <f>IF(5*Settings!$C$7&gt;=1440,"",MOD(ROUND((Settings!$C$6+5*Settings!$C$7/1440)*1440,0),1440)/1440)</f>
        <v/>
      </c>
      <c r="AU14" s="8" t="n"/>
      <c r="AV14" s="8" t="n"/>
      <c r="AW14" s="8" t="n"/>
      <c r="AX14" s="8" t="n"/>
      <c r="BA14" s="13">
        <f>IF(Settings!$B$45="","",Settings!$B$45)</f>
        <v/>
      </c>
      <c r="BB14" s="14" t="b">
        <v>0</v>
      </c>
      <c r="BC14" s="14" t="b">
        <v>0</v>
      </c>
      <c r="BD14" s="14" t="b">
        <v>0</v>
      </c>
      <c r="BE14" s="14" t="b">
        <v>0</v>
      </c>
      <c r="BF14" s="14" t="b">
        <v>0</v>
      </c>
      <c r="BG14" s="14" t="b">
        <v>0</v>
      </c>
      <c r="BH14" s="14" t="b">
        <v>0</v>
      </c>
      <c r="BI14" s="34">
        <f>IF($BA14="","",COUNTIF(BB14:BH14,TRUE)/7)</f>
        <v/>
      </c>
      <c r="BJ14" s="36">
        <f>IF(BI14="","",REPT("█",ROUND(BI14*10,0))&amp;REPT("░",10-ROUND(BI14*10,0)))</f>
        <v/>
      </c>
    </row>
    <row r="15">
      <c r="B15" s="14" t="b">
        <v>0</v>
      </c>
      <c r="C15" s="8" t="n"/>
      <c r="D15" s="8" t="n"/>
      <c r="E15" s="8" t="n"/>
      <c r="F15" s="8" t="n"/>
      <c r="G15" s="8" t="n"/>
      <c r="H15" s="8" t="n"/>
      <c r="J15" s="37">
        <f>IF(6*Settings!$C$7&gt;=1440,"",MOD(ROUND((Settings!$C$6+6*Settings!$C$7/1440)*1440,0),1440)/1440)</f>
        <v/>
      </c>
      <c r="K15" s="8" t="n"/>
      <c r="L15" s="8" t="n"/>
      <c r="M15" s="8" t="n"/>
      <c r="N15" s="8" t="n"/>
      <c r="P15" s="37">
        <f>IF(6*Settings!$C$7&gt;=1440,"",MOD(ROUND((Settings!$C$6+6*Settings!$C$7/1440)*1440,0),1440)/1440)</f>
        <v/>
      </c>
      <c r="Q15" s="8" t="n"/>
      <c r="R15" s="8" t="n"/>
      <c r="S15" s="8" t="n"/>
      <c r="T15" s="8" t="n"/>
      <c r="V15" s="37">
        <f>IF(6*Settings!$C$7&gt;=1440,"",MOD(ROUND((Settings!$C$6+6*Settings!$C$7/1440)*1440,0),1440)/1440)</f>
        <v/>
      </c>
      <c r="W15" s="8" t="n"/>
      <c r="X15" s="8" t="n"/>
      <c r="Y15" s="8" t="n"/>
      <c r="Z15" s="8" t="n"/>
      <c r="AB15" s="37">
        <f>IF(6*Settings!$C$7&gt;=1440,"",MOD(ROUND((Settings!$C$6+6*Settings!$C$7/1440)*1440,0),1440)/1440)</f>
        <v/>
      </c>
      <c r="AC15" s="8" t="n"/>
      <c r="AD15" s="8" t="n"/>
      <c r="AE15" s="8" t="n"/>
      <c r="AF15" s="8" t="n"/>
      <c r="AH15" s="37">
        <f>IF(6*Settings!$C$7&gt;=1440,"",MOD(ROUND((Settings!$C$6+6*Settings!$C$7/1440)*1440,0),1440)/1440)</f>
        <v/>
      </c>
      <c r="AI15" s="8" t="n"/>
      <c r="AJ15" s="8" t="n"/>
      <c r="AK15" s="8" t="n"/>
      <c r="AL15" s="8" t="n"/>
      <c r="AN15" s="37">
        <f>IF(6*Settings!$C$7&gt;=1440,"",MOD(ROUND((Settings!$C$6+6*Settings!$C$7/1440)*1440,0),1440)/1440)</f>
        <v/>
      </c>
      <c r="AO15" s="8" t="n"/>
      <c r="AP15" s="8" t="n"/>
      <c r="AQ15" s="8" t="n"/>
      <c r="AR15" s="8" t="n"/>
      <c r="AT15" s="37">
        <f>IF(6*Settings!$C$7&gt;=1440,"",MOD(ROUND((Settings!$C$6+6*Settings!$C$7/1440)*1440,0),1440)/1440)</f>
        <v/>
      </c>
      <c r="AU15" s="8" t="n"/>
      <c r="AV15" s="8" t="n"/>
      <c r="AW15" s="8" t="n"/>
      <c r="AX15" s="8" t="n"/>
      <c r="BA15" s="13">
        <f>IF(Settings!$B$46="","",Settings!$B$46)</f>
        <v/>
      </c>
      <c r="BB15" s="14" t="b">
        <v>0</v>
      </c>
      <c r="BC15" s="14" t="b">
        <v>0</v>
      </c>
      <c r="BD15" s="14" t="b">
        <v>0</v>
      </c>
      <c r="BE15" s="14" t="b">
        <v>0</v>
      </c>
      <c r="BF15" s="14" t="b">
        <v>0</v>
      </c>
      <c r="BG15" s="14" t="b">
        <v>0</v>
      </c>
      <c r="BH15" s="14" t="b">
        <v>0</v>
      </c>
      <c r="BI15" s="34">
        <f>IF($BA15="","",COUNTIF(BB15:BH15,TRUE)/7)</f>
        <v/>
      </c>
      <c r="BJ15" s="36">
        <f>IF(BI15="","",REPT("█",ROUND(BI15*10,0))&amp;REPT("░",10-ROUND(BI15*10,0)))</f>
        <v/>
      </c>
    </row>
    <row r="16">
      <c r="B16" s="14" t="b">
        <v>0</v>
      </c>
      <c r="C16" s="8" t="n"/>
      <c r="D16" s="8" t="n"/>
      <c r="E16" s="8" t="n"/>
      <c r="F16" s="8" t="n"/>
      <c r="G16" s="8" t="n"/>
      <c r="H16" s="8" t="n"/>
      <c r="J16" s="37">
        <f>IF(7*Settings!$C$7&gt;=1440,"",MOD(ROUND((Settings!$C$6+7*Settings!$C$7/1440)*1440,0),1440)/1440)</f>
        <v/>
      </c>
      <c r="K16" s="8" t="n"/>
      <c r="L16" s="8" t="n"/>
      <c r="M16" s="8" t="n"/>
      <c r="N16" s="8" t="n"/>
      <c r="P16" s="37">
        <f>IF(7*Settings!$C$7&gt;=1440,"",MOD(ROUND((Settings!$C$6+7*Settings!$C$7/1440)*1440,0),1440)/1440)</f>
        <v/>
      </c>
      <c r="Q16" s="8" t="n"/>
      <c r="R16" s="8" t="n"/>
      <c r="S16" s="8" t="n"/>
      <c r="T16" s="8" t="n"/>
      <c r="V16" s="37">
        <f>IF(7*Settings!$C$7&gt;=1440,"",MOD(ROUND((Settings!$C$6+7*Settings!$C$7/1440)*1440,0),1440)/1440)</f>
        <v/>
      </c>
      <c r="W16" s="8" t="n"/>
      <c r="X16" s="8" t="n"/>
      <c r="Y16" s="8" t="n"/>
      <c r="Z16" s="8" t="n"/>
      <c r="AB16" s="37">
        <f>IF(7*Settings!$C$7&gt;=1440,"",MOD(ROUND((Settings!$C$6+7*Settings!$C$7/1440)*1440,0),1440)/1440)</f>
        <v/>
      </c>
      <c r="AC16" s="8" t="n"/>
      <c r="AD16" s="8" t="n"/>
      <c r="AE16" s="8" t="n"/>
      <c r="AF16" s="8" t="n"/>
      <c r="AH16" s="37">
        <f>IF(7*Settings!$C$7&gt;=1440,"",MOD(ROUND((Settings!$C$6+7*Settings!$C$7/1440)*1440,0),1440)/1440)</f>
        <v/>
      </c>
      <c r="AI16" s="8" t="n"/>
      <c r="AJ16" s="8" t="n"/>
      <c r="AK16" s="8" t="n"/>
      <c r="AL16" s="8" t="n"/>
      <c r="AN16" s="37">
        <f>IF(7*Settings!$C$7&gt;=1440,"",MOD(ROUND((Settings!$C$6+7*Settings!$C$7/1440)*1440,0),1440)/1440)</f>
        <v/>
      </c>
      <c r="AO16" s="8" t="n"/>
      <c r="AP16" s="8" t="n"/>
      <c r="AQ16" s="8" t="n"/>
      <c r="AR16" s="8" t="n"/>
      <c r="AT16" s="37">
        <f>IF(7*Settings!$C$7&gt;=1440,"",MOD(ROUND((Settings!$C$6+7*Settings!$C$7/1440)*1440,0),1440)/1440)</f>
        <v/>
      </c>
      <c r="AU16" s="8" t="n"/>
      <c r="AV16" s="8" t="n"/>
      <c r="AW16" s="8" t="n"/>
      <c r="AX16" s="8" t="n"/>
      <c r="BA16" s="13">
        <f>IF(Settings!$B$47="","",Settings!$B$47)</f>
        <v/>
      </c>
      <c r="BB16" s="14" t="b">
        <v>0</v>
      </c>
      <c r="BC16" s="14" t="b">
        <v>0</v>
      </c>
      <c r="BD16" s="14" t="b">
        <v>0</v>
      </c>
      <c r="BE16" s="14" t="b">
        <v>0</v>
      </c>
      <c r="BF16" s="14" t="b">
        <v>0</v>
      </c>
      <c r="BG16" s="14" t="b">
        <v>0</v>
      </c>
      <c r="BH16" s="14" t="b">
        <v>0</v>
      </c>
      <c r="BI16" s="34">
        <f>IF($BA16="","",COUNTIF(BB16:BH16,TRUE)/7)</f>
        <v/>
      </c>
      <c r="BJ16" s="36">
        <f>IF(BI16="","",REPT("█",ROUND(BI16*10,0))&amp;REPT("░",10-ROUND(BI16*10,0)))</f>
        <v/>
      </c>
    </row>
    <row r="17">
      <c r="B17" s="14" t="b">
        <v>0</v>
      </c>
      <c r="C17" s="8" t="n"/>
      <c r="D17" s="8" t="n"/>
      <c r="E17" s="8" t="n"/>
      <c r="F17" s="8" t="n"/>
      <c r="G17" s="8" t="n"/>
      <c r="H17" s="8" t="n"/>
      <c r="J17" s="37">
        <f>IF(8*Settings!$C$7&gt;=1440,"",MOD(ROUND((Settings!$C$6+8*Settings!$C$7/1440)*1440,0),1440)/1440)</f>
        <v/>
      </c>
      <c r="K17" s="8" t="n"/>
      <c r="L17" s="8" t="n"/>
      <c r="M17" s="8" t="n"/>
      <c r="N17" s="8" t="n"/>
      <c r="P17" s="37">
        <f>IF(8*Settings!$C$7&gt;=1440,"",MOD(ROUND((Settings!$C$6+8*Settings!$C$7/1440)*1440,0),1440)/1440)</f>
        <v/>
      </c>
      <c r="Q17" s="8" t="n"/>
      <c r="R17" s="8" t="n"/>
      <c r="S17" s="8" t="n"/>
      <c r="T17" s="8" t="n"/>
      <c r="V17" s="37">
        <f>IF(8*Settings!$C$7&gt;=1440,"",MOD(ROUND((Settings!$C$6+8*Settings!$C$7/1440)*1440,0),1440)/1440)</f>
        <v/>
      </c>
      <c r="W17" s="8" t="n"/>
      <c r="X17" s="8" t="n"/>
      <c r="Y17" s="8" t="n"/>
      <c r="Z17" s="8" t="n"/>
      <c r="AB17" s="37">
        <f>IF(8*Settings!$C$7&gt;=1440,"",MOD(ROUND((Settings!$C$6+8*Settings!$C$7/1440)*1440,0),1440)/1440)</f>
        <v/>
      </c>
      <c r="AC17" s="8" t="n"/>
      <c r="AD17" s="8" t="n"/>
      <c r="AE17" s="8" t="n"/>
      <c r="AF17" s="8" t="n"/>
      <c r="AH17" s="37">
        <f>IF(8*Settings!$C$7&gt;=1440,"",MOD(ROUND((Settings!$C$6+8*Settings!$C$7/1440)*1440,0),1440)/1440)</f>
        <v/>
      </c>
      <c r="AI17" s="8" t="n"/>
      <c r="AJ17" s="8" t="n"/>
      <c r="AK17" s="8" t="n"/>
      <c r="AL17" s="8" t="n"/>
      <c r="AN17" s="37">
        <f>IF(8*Settings!$C$7&gt;=1440,"",MOD(ROUND((Settings!$C$6+8*Settings!$C$7/1440)*1440,0),1440)/1440)</f>
        <v/>
      </c>
      <c r="AO17" s="8" t="n"/>
      <c r="AP17" s="8" t="n"/>
      <c r="AQ17" s="8" t="n"/>
      <c r="AR17" s="8" t="n"/>
      <c r="AT17" s="37">
        <f>IF(8*Settings!$C$7&gt;=1440,"",MOD(ROUND((Settings!$C$6+8*Settings!$C$7/1440)*1440,0),1440)/1440)</f>
        <v/>
      </c>
      <c r="AU17" s="8" t="n"/>
      <c r="AV17" s="8" t="n"/>
      <c r="AW17" s="8" t="n"/>
      <c r="AX17" s="8" t="n"/>
      <c r="BA17" s="13">
        <f>IF(Settings!$B$48="","",Settings!$B$48)</f>
        <v/>
      </c>
      <c r="BB17" s="14" t="b">
        <v>0</v>
      </c>
      <c r="BC17" s="14" t="b">
        <v>0</v>
      </c>
      <c r="BD17" s="14" t="b">
        <v>0</v>
      </c>
      <c r="BE17" s="14" t="b">
        <v>0</v>
      </c>
      <c r="BF17" s="14" t="b">
        <v>0</v>
      </c>
      <c r="BG17" s="14" t="b">
        <v>0</v>
      </c>
      <c r="BH17" s="14" t="b">
        <v>0</v>
      </c>
      <c r="BI17" s="34">
        <f>IF($BA17="","",COUNTIF(BB17:BH17,TRUE)/7)</f>
        <v/>
      </c>
      <c r="BJ17" s="36">
        <f>IF(BI17="","",REPT("█",ROUND(BI17*10,0))&amp;REPT("░",10-ROUND(BI17*10,0)))</f>
        <v/>
      </c>
    </row>
    <row r="18">
      <c r="B18" s="14" t="b">
        <v>0</v>
      </c>
      <c r="C18" s="8" t="n"/>
      <c r="D18" s="8" t="n"/>
      <c r="E18" s="8" t="n"/>
      <c r="F18" s="8" t="n"/>
      <c r="G18" s="8" t="n"/>
      <c r="H18" s="8" t="n"/>
      <c r="J18" s="37">
        <f>IF(9*Settings!$C$7&gt;=1440,"",MOD(ROUND((Settings!$C$6+9*Settings!$C$7/1440)*1440,0),1440)/1440)</f>
        <v/>
      </c>
      <c r="K18" s="8" t="n"/>
      <c r="L18" s="8" t="n"/>
      <c r="M18" s="8" t="n"/>
      <c r="N18" s="8" t="n"/>
      <c r="P18" s="37">
        <f>IF(9*Settings!$C$7&gt;=1440,"",MOD(ROUND((Settings!$C$6+9*Settings!$C$7/1440)*1440,0),1440)/1440)</f>
        <v/>
      </c>
      <c r="Q18" s="8" t="n"/>
      <c r="R18" s="8" t="n"/>
      <c r="S18" s="8" t="n"/>
      <c r="T18" s="8" t="n"/>
      <c r="V18" s="37">
        <f>IF(9*Settings!$C$7&gt;=1440,"",MOD(ROUND((Settings!$C$6+9*Settings!$C$7/1440)*1440,0),1440)/1440)</f>
        <v/>
      </c>
      <c r="W18" s="8" t="n"/>
      <c r="X18" s="8" t="n"/>
      <c r="Y18" s="8" t="n"/>
      <c r="Z18" s="8" t="n"/>
      <c r="AB18" s="37">
        <f>IF(9*Settings!$C$7&gt;=1440,"",MOD(ROUND((Settings!$C$6+9*Settings!$C$7/1440)*1440,0),1440)/1440)</f>
        <v/>
      </c>
      <c r="AC18" s="8" t="n"/>
      <c r="AD18" s="8" t="n"/>
      <c r="AE18" s="8" t="n"/>
      <c r="AF18" s="8" t="n"/>
      <c r="AH18" s="37">
        <f>IF(9*Settings!$C$7&gt;=1440,"",MOD(ROUND((Settings!$C$6+9*Settings!$C$7/1440)*1440,0),1440)/1440)</f>
        <v/>
      </c>
      <c r="AI18" s="8" t="n"/>
      <c r="AJ18" s="8" t="n"/>
      <c r="AK18" s="8" t="n"/>
      <c r="AL18" s="8" t="n"/>
      <c r="AN18" s="37">
        <f>IF(9*Settings!$C$7&gt;=1440,"",MOD(ROUND((Settings!$C$6+9*Settings!$C$7/1440)*1440,0),1440)/1440)</f>
        <v/>
      </c>
      <c r="AO18" s="8" t="n"/>
      <c r="AP18" s="8" t="n"/>
      <c r="AQ18" s="8" t="n"/>
      <c r="AR18" s="8" t="n"/>
      <c r="AT18" s="37">
        <f>IF(9*Settings!$C$7&gt;=1440,"",MOD(ROUND((Settings!$C$6+9*Settings!$C$7/1440)*1440,0),1440)/1440)</f>
        <v/>
      </c>
      <c r="AU18" s="8" t="n"/>
      <c r="AV18" s="8" t="n"/>
      <c r="AW18" s="8" t="n"/>
      <c r="AX18" s="8" t="n"/>
      <c r="BA18" s="13">
        <f>IF(Settings!$B$49="","",Settings!$B$49)</f>
        <v/>
      </c>
      <c r="BB18" s="14" t="b">
        <v>0</v>
      </c>
      <c r="BC18" s="14" t="b">
        <v>0</v>
      </c>
      <c r="BD18" s="14" t="b">
        <v>0</v>
      </c>
      <c r="BE18" s="14" t="b">
        <v>0</v>
      </c>
      <c r="BF18" s="14" t="b">
        <v>0</v>
      </c>
      <c r="BG18" s="14" t="b">
        <v>0</v>
      </c>
      <c r="BH18" s="14" t="b">
        <v>0</v>
      </c>
      <c r="BI18" s="34">
        <f>IF($BA18="","",COUNTIF(BB18:BH18,TRUE)/7)</f>
        <v/>
      </c>
      <c r="BJ18" s="36">
        <f>IF(BI18="","",REPT("█",ROUND(BI18*10,0))&amp;REPT("░",10-ROUND(BI18*10,0)))</f>
        <v/>
      </c>
    </row>
    <row r="19">
      <c r="B19" s="14" t="b">
        <v>0</v>
      </c>
      <c r="C19" s="8" t="n"/>
      <c r="D19" s="8" t="n"/>
      <c r="E19" s="8" t="n"/>
      <c r="F19" s="8" t="n"/>
      <c r="G19" s="8" t="n"/>
      <c r="H19" s="8" t="n"/>
      <c r="J19" s="37">
        <f>IF(10*Settings!$C$7&gt;=1440,"",MOD(ROUND((Settings!$C$6+10*Settings!$C$7/1440)*1440,0),1440)/1440)</f>
        <v/>
      </c>
      <c r="K19" s="8" t="n"/>
      <c r="L19" s="8" t="n"/>
      <c r="M19" s="8" t="n"/>
      <c r="N19" s="8" t="n"/>
      <c r="P19" s="37">
        <f>IF(10*Settings!$C$7&gt;=1440,"",MOD(ROUND((Settings!$C$6+10*Settings!$C$7/1440)*1440,0),1440)/1440)</f>
        <v/>
      </c>
      <c r="Q19" s="8" t="n"/>
      <c r="R19" s="8" t="n"/>
      <c r="S19" s="8" t="n"/>
      <c r="T19" s="8" t="n"/>
      <c r="V19" s="37">
        <f>IF(10*Settings!$C$7&gt;=1440,"",MOD(ROUND((Settings!$C$6+10*Settings!$C$7/1440)*1440,0),1440)/1440)</f>
        <v/>
      </c>
      <c r="W19" s="8" t="n"/>
      <c r="X19" s="8" t="n"/>
      <c r="Y19" s="8" t="n"/>
      <c r="Z19" s="8" t="n"/>
      <c r="AB19" s="37">
        <f>IF(10*Settings!$C$7&gt;=1440,"",MOD(ROUND((Settings!$C$6+10*Settings!$C$7/1440)*1440,0),1440)/1440)</f>
        <v/>
      </c>
      <c r="AC19" s="8" t="n"/>
      <c r="AD19" s="8" t="n"/>
      <c r="AE19" s="8" t="n"/>
      <c r="AF19" s="8" t="n"/>
      <c r="AH19" s="37">
        <f>IF(10*Settings!$C$7&gt;=1440,"",MOD(ROUND((Settings!$C$6+10*Settings!$C$7/1440)*1440,0),1440)/1440)</f>
        <v/>
      </c>
      <c r="AI19" s="8" t="n"/>
      <c r="AJ19" s="8" t="n"/>
      <c r="AK19" s="8" t="n"/>
      <c r="AL19" s="8" t="n"/>
      <c r="AN19" s="37">
        <f>IF(10*Settings!$C$7&gt;=1440,"",MOD(ROUND((Settings!$C$6+10*Settings!$C$7/1440)*1440,0),1440)/1440)</f>
        <v/>
      </c>
      <c r="AO19" s="8" t="n"/>
      <c r="AP19" s="8" t="n"/>
      <c r="AQ19" s="8" t="n"/>
      <c r="AR19" s="8" t="n"/>
      <c r="AT19" s="37">
        <f>IF(10*Settings!$C$7&gt;=1440,"",MOD(ROUND((Settings!$C$6+10*Settings!$C$7/1440)*1440,0),1440)/1440)</f>
        <v/>
      </c>
      <c r="AU19" s="8" t="n"/>
      <c r="AV19" s="8" t="n"/>
      <c r="AW19" s="8" t="n"/>
      <c r="AX19" s="8" t="n"/>
      <c r="BA19" s="13">
        <f>IF(Settings!$B$50="","",Settings!$B$50)</f>
        <v/>
      </c>
      <c r="BB19" s="14" t="b">
        <v>0</v>
      </c>
      <c r="BC19" s="14" t="b">
        <v>0</v>
      </c>
      <c r="BD19" s="14" t="b">
        <v>0</v>
      </c>
      <c r="BE19" s="14" t="b">
        <v>0</v>
      </c>
      <c r="BF19" s="14" t="b">
        <v>0</v>
      </c>
      <c r="BG19" s="14" t="b">
        <v>0</v>
      </c>
      <c r="BH19" s="14" t="b">
        <v>0</v>
      </c>
      <c r="BI19" s="34">
        <f>IF($BA19="","",COUNTIF(BB19:BH19,TRUE)/7)</f>
        <v/>
      </c>
      <c r="BJ19" s="36">
        <f>IF(BI19="","",REPT("█",ROUND(BI19*10,0))&amp;REPT("░",10-ROUND(BI19*10,0)))</f>
        <v/>
      </c>
    </row>
    <row r="20">
      <c r="J20" s="37">
        <f>IF(11*Settings!$C$7&gt;=1440,"",MOD(ROUND((Settings!$C$6+11*Settings!$C$7/1440)*1440,0),1440)/1440)</f>
        <v/>
      </c>
      <c r="K20" s="8" t="n"/>
      <c r="L20" s="8" t="n"/>
      <c r="M20" s="8" t="n"/>
      <c r="N20" s="8" t="n"/>
      <c r="P20" s="37">
        <f>IF(11*Settings!$C$7&gt;=1440,"",MOD(ROUND((Settings!$C$6+11*Settings!$C$7/1440)*1440,0),1440)/1440)</f>
        <v/>
      </c>
      <c r="Q20" s="8" t="n"/>
      <c r="R20" s="8" t="n"/>
      <c r="S20" s="8" t="n"/>
      <c r="T20" s="8" t="n"/>
      <c r="V20" s="37">
        <f>IF(11*Settings!$C$7&gt;=1440,"",MOD(ROUND((Settings!$C$6+11*Settings!$C$7/1440)*1440,0),1440)/1440)</f>
        <v/>
      </c>
      <c r="W20" s="8" t="n"/>
      <c r="X20" s="8" t="n"/>
      <c r="Y20" s="8" t="n"/>
      <c r="Z20" s="8" t="n"/>
      <c r="AB20" s="37">
        <f>IF(11*Settings!$C$7&gt;=1440,"",MOD(ROUND((Settings!$C$6+11*Settings!$C$7/1440)*1440,0),1440)/1440)</f>
        <v/>
      </c>
      <c r="AC20" s="8" t="n"/>
      <c r="AD20" s="8" t="n"/>
      <c r="AE20" s="8" t="n"/>
      <c r="AF20" s="8" t="n"/>
      <c r="AH20" s="37">
        <f>IF(11*Settings!$C$7&gt;=1440,"",MOD(ROUND((Settings!$C$6+11*Settings!$C$7/1440)*1440,0),1440)/1440)</f>
        <v/>
      </c>
      <c r="AI20" s="8" t="n"/>
      <c r="AJ20" s="8" t="n"/>
      <c r="AK20" s="8" t="n"/>
      <c r="AL20" s="8" t="n"/>
      <c r="AN20" s="37">
        <f>IF(11*Settings!$C$7&gt;=1440,"",MOD(ROUND((Settings!$C$6+11*Settings!$C$7/1440)*1440,0),1440)/1440)</f>
        <v/>
      </c>
      <c r="AO20" s="8" t="n"/>
      <c r="AP20" s="8" t="n"/>
      <c r="AQ20" s="8" t="n"/>
      <c r="AR20" s="8" t="n"/>
      <c r="AT20" s="37">
        <f>IF(11*Settings!$C$7&gt;=1440,"",MOD(ROUND((Settings!$C$6+11*Settings!$C$7/1440)*1440,0),1440)/1440)</f>
        <v/>
      </c>
      <c r="AU20" s="8" t="n"/>
      <c r="AV20" s="8" t="n"/>
      <c r="AW20" s="8" t="n"/>
      <c r="AX20" s="8" t="n"/>
      <c r="BA20" s="13">
        <f>IF(Settings!$B$51="","",Settings!$B$51)</f>
        <v/>
      </c>
      <c r="BB20" s="14" t="b">
        <v>0</v>
      </c>
      <c r="BC20" s="14" t="b">
        <v>0</v>
      </c>
      <c r="BD20" s="14" t="b">
        <v>0</v>
      </c>
      <c r="BE20" s="14" t="b">
        <v>0</v>
      </c>
      <c r="BF20" s="14" t="b">
        <v>0</v>
      </c>
      <c r="BG20" s="14" t="b">
        <v>0</v>
      </c>
      <c r="BH20" s="14" t="b">
        <v>0</v>
      </c>
      <c r="BI20" s="34">
        <f>IF($BA20="","",COUNTIF(BB20:BH20,TRUE)/7)</f>
        <v/>
      </c>
      <c r="BJ20" s="36">
        <f>IF(BI20="","",REPT("█",ROUND(BI20*10,0))&amp;REPT("░",10-ROUND(BI20*10,0)))</f>
        <v/>
      </c>
    </row>
    <row r="21">
      <c r="J21" s="37">
        <f>IF(12*Settings!$C$7&gt;=1440,"",MOD(ROUND((Settings!$C$6+12*Settings!$C$7/1440)*1440,0),1440)/1440)</f>
        <v/>
      </c>
      <c r="K21" s="8" t="n"/>
      <c r="L21" s="8" t="n"/>
      <c r="M21" s="8" t="n"/>
      <c r="N21" s="8" t="n"/>
      <c r="P21" s="37">
        <f>IF(12*Settings!$C$7&gt;=1440,"",MOD(ROUND((Settings!$C$6+12*Settings!$C$7/1440)*1440,0),1440)/1440)</f>
        <v/>
      </c>
      <c r="Q21" s="8" t="n"/>
      <c r="R21" s="8" t="n"/>
      <c r="S21" s="8" t="n"/>
      <c r="T21" s="8" t="n"/>
      <c r="V21" s="37">
        <f>IF(12*Settings!$C$7&gt;=1440,"",MOD(ROUND((Settings!$C$6+12*Settings!$C$7/1440)*1440,0),1440)/1440)</f>
        <v/>
      </c>
      <c r="W21" s="8" t="n"/>
      <c r="X21" s="8" t="n"/>
      <c r="Y21" s="8" t="n"/>
      <c r="Z21" s="8" t="n"/>
      <c r="AB21" s="37">
        <f>IF(12*Settings!$C$7&gt;=1440,"",MOD(ROUND((Settings!$C$6+12*Settings!$C$7/1440)*1440,0),1440)/1440)</f>
        <v/>
      </c>
      <c r="AC21" s="8" t="n"/>
      <c r="AD21" s="8" t="n"/>
      <c r="AE21" s="8" t="n"/>
      <c r="AF21" s="8" t="n"/>
      <c r="AH21" s="37">
        <f>IF(12*Settings!$C$7&gt;=1440,"",MOD(ROUND((Settings!$C$6+12*Settings!$C$7/1440)*1440,0),1440)/1440)</f>
        <v/>
      </c>
      <c r="AI21" s="8" t="n"/>
      <c r="AJ21" s="8" t="n"/>
      <c r="AK21" s="8" t="n"/>
      <c r="AL21" s="8" t="n"/>
      <c r="AN21" s="37">
        <f>IF(12*Settings!$C$7&gt;=1440,"",MOD(ROUND((Settings!$C$6+12*Settings!$C$7/1440)*1440,0),1440)/1440)</f>
        <v/>
      </c>
      <c r="AO21" s="8" t="n"/>
      <c r="AP21" s="8" t="n"/>
      <c r="AQ21" s="8" t="n"/>
      <c r="AR21" s="8" t="n"/>
      <c r="AT21" s="37">
        <f>IF(12*Settings!$C$7&gt;=1440,"",MOD(ROUND((Settings!$C$6+12*Settings!$C$7/1440)*1440,0),1440)/1440)</f>
        <v/>
      </c>
      <c r="AU21" s="8" t="n"/>
      <c r="AV21" s="8" t="n"/>
      <c r="AW21" s="8" t="n"/>
      <c r="AX21" s="8" t="n"/>
      <c r="BA21" s="13">
        <f>IF(Settings!$B$52="","",Settings!$B$52)</f>
        <v/>
      </c>
      <c r="BB21" s="14" t="b">
        <v>0</v>
      </c>
      <c r="BC21" s="14" t="b">
        <v>0</v>
      </c>
      <c r="BD21" s="14" t="b">
        <v>0</v>
      </c>
      <c r="BE21" s="14" t="b">
        <v>0</v>
      </c>
      <c r="BF21" s="14" t="b">
        <v>0</v>
      </c>
      <c r="BG21" s="14" t="b">
        <v>0</v>
      </c>
      <c r="BH21" s="14" t="b">
        <v>0</v>
      </c>
      <c r="BI21" s="34">
        <f>IF($BA21="","",COUNTIF(BB21:BH21,TRUE)/7)</f>
        <v/>
      </c>
      <c r="BJ21" s="36">
        <f>IF(BI21="","",REPT("█",ROUND(BI21*10,0))&amp;REPT("░",10-ROUND(BI21*10,0)))</f>
        <v/>
      </c>
    </row>
    <row r="22">
      <c r="B22" s="6">
        <f>IF(Settings!$C$103="",Settings!$B$103,Settings!$C$103)</f>
        <v/>
      </c>
      <c r="C22" s="6" t="n"/>
      <c r="D22" s="6" t="n"/>
      <c r="E22" s="6" t="n"/>
      <c r="F22" s="6" t="n"/>
      <c r="G22" s="6" t="n"/>
      <c r="H22" s="21">
        <f>IFERROR(SUMPRODUCT((C23:C27&lt;&gt;"")*(B23:B27=TRUE))/SUMPRODUCT((C23:C27&lt;&gt;"")*1),0)</f>
        <v/>
      </c>
      <c r="J22" s="37">
        <f>IF(13*Settings!$C$7&gt;=1440,"",MOD(ROUND((Settings!$C$6+13*Settings!$C$7/1440)*1440,0),1440)/1440)</f>
        <v/>
      </c>
      <c r="K22" s="8" t="n"/>
      <c r="L22" s="8" t="n"/>
      <c r="M22" s="8" t="n"/>
      <c r="N22" s="8" t="n"/>
      <c r="P22" s="37">
        <f>IF(13*Settings!$C$7&gt;=1440,"",MOD(ROUND((Settings!$C$6+13*Settings!$C$7/1440)*1440,0),1440)/1440)</f>
        <v/>
      </c>
      <c r="Q22" s="8" t="n"/>
      <c r="R22" s="8" t="n"/>
      <c r="S22" s="8" t="n"/>
      <c r="T22" s="8" t="n"/>
      <c r="V22" s="37">
        <f>IF(13*Settings!$C$7&gt;=1440,"",MOD(ROUND((Settings!$C$6+13*Settings!$C$7/1440)*1440,0),1440)/1440)</f>
        <v/>
      </c>
      <c r="W22" s="8" t="n"/>
      <c r="X22" s="8" t="n"/>
      <c r="Y22" s="8" t="n"/>
      <c r="Z22" s="8" t="n"/>
      <c r="AB22" s="37">
        <f>IF(13*Settings!$C$7&gt;=1440,"",MOD(ROUND((Settings!$C$6+13*Settings!$C$7/1440)*1440,0),1440)/1440)</f>
        <v/>
      </c>
      <c r="AC22" s="8" t="n"/>
      <c r="AD22" s="8" t="n"/>
      <c r="AE22" s="8" t="n"/>
      <c r="AF22" s="8" t="n"/>
      <c r="AH22" s="37">
        <f>IF(13*Settings!$C$7&gt;=1440,"",MOD(ROUND((Settings!$C$6+13*Settings!$C$7/1440)*1440,0),1440)/1440)</f>
        <v/>
      </c>
      <c r="AI22" s="8" t="n"/>
      <c r="AJ22" s="8" t="n"/>
      <c r="AK22" s="8" t="n"/>
      <c r="AL22" s="8" t="n"/>
      <c r="AN22" s="37">
        <f>IF(13*Settings!$C$7&gt;=1440,"",MOD(ROUND((Settings!$C$6+13*Settings!$C$7/1440)*1440,0),1440)/1440)</f>
        <v/>
      </c>
      <c r="AO22" s="8" t="n"/>
      <c r="AP22" s="8" t="n"/>
      <c r="AQ22" s="8" t="n"/>
      <c r="AR22" s="8" t="n"/>
      <c r="AT22" s="37">
        <f>IF(13*Settings!$C$7&gt;=1440,"",MOD(ROUND((Settings!$C$6+13*Settings!$C$7/1440)*1440,0),1440)/1440)</f>
        <v/>
      </c>
      <c r="AU22" s="8" t="n"/>
      <c r="AV22" s="8" t="n"/>
      <c r="AW22" s="8" t="n"/>
      <c r="AX22" s="8" t="n"/>
      <c r="BA22" s="13">
        <f>IF(Settings!$B$53="","",Settings!$B$53)</f>
        <v/>
      </c>
      <c r="BB22" s="14" t="b">
        <v>0</v>
      </c>
      <c r="BC22" s="14" t="b">
        <v>0</v>
      </c>
      <c r="BD22" s="14" t="b">
        <v>0</v>
      </c>
      <c r="BE22" s="14" t="b">
        <v>0</v>
      </c>
      <c r="BF22" s="14" t="b">
        <v>0</v>
      </c>
      <c r="BG22" s="14" t="b">
        <v>0</v>
      </c>
      <c r="BH22" s="14" t="b">
        <v>0</v>
      </c>
      <c r="BI22" s="34">
        <f>IF($BA22="","",COUNTIF(BB22:BH22,TRUE)/7)</f>
        <v/>
      </c>
      <c r="BJ22" s="36">
        <f>IF(BI22="","",REPT("█",ROUND(BI22*10,0))&amp;REPT("░",10-ROUND(BI22*10,0)))</f>
        <v/>
      </c>
    </row>
    <row r="23">
      <c r="B23" s="14" t="b">
        <v>0</v>
      </c>
      <c r="C23" s="8" t="n"/>
      <c r="D23" s="8" t="n"/>
      <c r="E23" s="8" t="n"/>
      <c r="F23" s="8" t="n"/>
      <c r="G23" s="8" t="n"/>
      <c r="H23" s="8" t="n"/>
      <c r="J23" s="37">
        <f>IF(14*Settings!$C$7&gt;=1440,"",MOD(ROUND((Settings!$C$6+14*Settings!$C$7/1440)*1440,0),1440)/1440)</f>
        <v/>
      </c>
      <c r="K23" s="8" t="n"/>
      <c r="L23" s="8" t="n"/>
      <c r="M23" s="8" t="n"/>
      <c r="N23" s="8" t="n"/>
      <c r="P23" s="37">
        <f>IF(14*Settings!$C$7&gt;=1440,"",MOD(ROUND((Settings!$C$6+14*Settings!$C$7/1440)*1440,0),1440)/1440)</f>
        <v/>
      </c>
      <c r="Q23" s="8" t="n"/>
      <c r="R23" s="8" t="n"/>
      <c r="S23" s="8" t="n"/>
      <c r="T23" s="8" t="n"/>
      <c r="V23" s="37">
        <f>IF(14*Settings!$C$7&gt;=1440,"",MOD(ROUND((Settings!$C$6+14*Settings!$C$7/1440)*1440,0),1440)/1440)</f>
        <v/>
      </c>
      <c r="W23" s="8" t="n"/>
      <c r="X23" s="8" t="n"/>
      <c r="Y23" s="8" t="n"/>
      <c r="Z23" s="8" t="n"/>
      <c r="AB23" s="37">
        <f>IF(14*Settings!$C$7&gt;=1440,"",MOD(ROUND((Settings!$C$6+14*Settings!$C$7/1440)*1440,0),1440)/1440)</f>
        <v/>
      </c>
      <c r="AC23" s="8" t="n"/>
      <c r="AD23" s="8" t="n"/>
      <c r="AE23" s="8" t="n"/>
      <c r="AF23" s="8" t="n"/>
      <c r="AH23" s="37">
        <f>IF(14*Settings!$C$7&gt;=1440,"",MOD(ROUND((Settings!$C$6+14*Settings!$C$7/1440)*1440,0),1440)/1440)</f>
        <v/>
      </c>
      <c r="AI23" s="8" t="n"/>
      <c r="AJ23" s="8" t="n"/>
      <c r="AK23" s="8" t="n"/>
      <c r="AL23" s="8" t="n"/>
      <c r="AN23" s="37">
        <f>IF(14*Settings!$C$7&gt;=1440,"",MOD(ROUND((Settings!$C$6+14*Settings!$C$7/1440)*1440,0),1440)/1440)</f>
        <v/>
      </c>
      <c r="AO23" s="8" t="n"/>
      <c r="AP23" s="8" t="n"/>
      <c r="AQ23" s="8" t="n"/>
      <c r="AR23" s="8" t="n"/>
      <c r="AT23" s="37">
        <f>IF(14*Settings!$C$7&gt;=1440,"",MOD(ROUND((Settings!$C$6+14*Settings!$C$7/1440)*1440,0),1440)/1440)</f>
        <v/>
      </c>
      <c r="AU23" s="8" t="n"/>
      <c r="AV23" s="8" t="n"/>
      <c r="AW23" s="8" t="n"/>
      <c r="AX23" s="8" t="n"/>
      <c r="BA23" s="13">
        <f>IF(Settings!$B$54="","",Settings!$B$54)</f>
        <v/>
      </c>
      <c r="BB23" s="14" t="b">
        <v>0</v>
      </c>
      <c r="BC23" s="14" t="b">
        <v>0</v>
      </c>
      <c r="BD23" s="14" t="b">
        <v>0</v>
      </c>
      <c r="BE23" s="14" t="b">
        <v>0</v>
      </c>
      <c r="BF23" s="14" t="b">
        <v>0</v>
      </c>
      <c r="BG23" s="14" t="b">
        <v>0</v>
      </c>
      <c r="BH23" s="14" t="b">
        <v>0</v>
      </c>
      <c r="BI23" s="34">
        <f>IF($BA23="","",COUNTIF(BB23:BH23,TRUE)/7)</f>
        <v/>
      </c>
      <c r="BJ23" s="36">
        <f>IF(BI23="","",REPT("█",ROUND(BI23*10,0))&amp;REPT("░",10-ROUND(BI23*10,0)))</f>
        <v/>
      </c>
    </row>
    <row r="24">
      <c r="B24" s="14" t="b">
        <v>0</v>
      </c>
      <c r="C24" s="8" t="n"/>
      <c r="D24" s="8" t="n"/>
      <c r="E24" s="8" t="n"/>
      <c r="F24" s="8" t="n"/>
      <c r="G24" s="8" t="n"/>
      <c r="H24" s="8" t="n"/>
      <c r="J24" s="37">
        <f>IF(15*Settings!$C$7&gt;=1440,"",MOD(ROUND((Settings!$C$6+15*Settings!$C$7/1440)*1440,0),1440)/1440)</f>
        <v/>
      </c>
      <c r="K24" s="8" t="n"/>
      <c r="L24" s="8" t="n"/>
      <c r="M24" s="8" t="n"/>
      <c r="N24" s="8" t="n"/>
      <c r="P24" s="37">
        <f>IF(15*Settings!$C$7&gt;=1440,"",MOD(ROUND((Settings!$C$6+15*Settings!$C$7/1440)*1440,0),1440)/1440)</f>
        <v/>
      </c>
      <c r="Q24" s="8" t="n"/>
      <c r="R24" s="8" t="n"/>
      <c r="S24" s="8" t="n"/>
      <c r="T24" s="8" t="n"/>
      <c r="V24" s="37">
        <f>IF(15*Settings!$C$7&gt;=1440,"",MOD(ROUND((Settings!$C$6+15*Settings!$C$7/1440)*1440,0),1440)/1440)</f>
        <v/>
      </c>
      <c r="W24" s="8" t="n"/>
      <c r="X24" s="8" t="n"/>
      <c r="Y24" s="8" t="n"/>
      <c r="Z24" s="8" t="n"/>
      <c r="AB24" s="37">
        <f>IF(15*Settings!$C$7&gt;=1440,"",MOD(ROUND((Settings!$C$6+15*Settings!$C$7/1440)*1440,0),1440)/1440)</f>
        <v/>
      </c>
      <c r="AC24" s="8" t="n"/>
      <c r="AD24" s="8" t="n"/>
      <c r="AE24" s="8" t="n"/>
      <c r="AF24" s="8" t="n"/>
      <c r="AH24" s="37">
        <f>IF(15*Settings!$C$7&gt;=1440,"",MOD(ROUND((Settings!$C$6+15*Settings!$C$7/1440)*1440,0),1440)/1440)</f>
        <v/>
      </c>
      <c r="AI24" s="8" t="n"/>
      <c r="AJ24" s="8" t="n"/>
      <c r="AK24" s="8" t="n"/>
      <c r="AL24" s="8" t="n"/>
      <c r="AN24" s="37">
        <f>IF(15*Settings!$C$7&gt;=1440,"",MOD(ROUND((Settings!$C$6+15*Settings!$C$7/1440)*1440,0),1440)/1440)</f>
        <v/>
      </c>
      <c r="AO24" s="8" t="n"/>
      <c r="AP24" s="8" t="n"/>
      <c r="AQ24" s="8" t="n"/>
      <c r="AR24" s="8" t="n"/>
      <c r="AT24" s="37">
        <f>IF(15*Settings!$C$7&gt;=1440,"",MOD(ROUND((Settings!$C$6+15*Settings!$C$7/1440)*1440,0),1440)/1440)</f>
        <v/>
      </c>
      <c r="AU24" s="8" t="n"/>
      <c r="AV24" s="8" t="n"/>
      <c r="AW24" s="8" t="n"/>
      <c r="AX24" s="8" t="n"/>
      <c r="BA24" s="13">
        <f>IF(Settings!$B$55="","",Settings!$B$55)</f>
        <v/>
      </c>
      <c r="BB24" s="14" t="b">
        <v>0</v>
      </c>
      <c r="BC24" s="14" t="b">
        <v>0</v>
      </c>
      <c r="BD24" s="14" t="b">
        <v>0</v>
      </c>
      <c r="BE24" s="14" t="b">
        <v>0</v>
      </c>
      <c r="BF24" s="14" t="b">
        <v>0</v>
      </c>
      <c r="BG24" s="14" t="b">
        <v>0</v>
      </c>
      <c r="BH24" s="14" t="b">
        <v>0</v>
      </c>
      <c r="BI24" s="34">
        <f>IF($BA24="","",COUNTIF(BB24:BH24,TRUE)/7)</f>
        <v/>
      </c>
      <c r="BJ24" s="36">
        <f>IF(BI24="","",REPT("█",ROUND(BI24*10,0))&amp;REPT("░",10-ROUND(BI24*10,0)))</f>
        <v/>
      </c>
    </row>
    <row r="25">
      <c r="B25" s="14" t="b">
        <v>0</v>
      </c>
      <c r="C25" s="8" t="n"/>
      <c r="D25" s="8" t="n"/>
      <c r="E25" s="8" t="n"/>
      <c r="F25" s="8" t="n"/>
      <c r="G25" s="8" t="n"/>
      <c r="H25" s="8" t="n"/>
      <c r="J25" s="37">
        <f>IF(16*Settings!$C$7&gt;=1440,"",MOD(ROUND((Settings!$C$6+16*Settings!$C$7/1440)*1440,0),1440)/1440)</f>
        <v/>
      </c>
      <c r="K25" s="8" t="n"/>
      <c r="L25" s="8" t="n"/>
      <c r="M25" s="8" t="n"/>
      <c r="N25" s="8" t="n"/>
      <c r="P25" s="37">
        <f>IF(16*Settings!$C$7&gt;=1440,"",MOD(ROUND((Settings!$C$6+16*Settings!$C$7/1440)*1440,0),1440)/1440)</f>
        <v/>
      </c>
      <c r="Q25" s="8" t="n"/>
      <c r="R25" s="8" t="n"/>
      <c r="S25" s="8" t="n"/>
      <c r="T25" s="8" t="n"/>
      <c r="V25" s="37">
        <f>IF(16*Settings!$C$7&gt;=1440,"",MOD(ROUND((Settings!$C$6+16*Settings!$C$7/1440)*1440,0),1440)/1440)</f>
        <v/>
      </c>
      <c r="W25" s="8" t="n"/>
      <c r="X25" s="8" t="n"/>
      <c r="Y25" s="8" t="n"/>
      <c r="Z25" s="8" t="n"/>
      <c r="AB25" s="37">
        <f>IF(16*Settings!$C$7&gt;=1440,"",MOD(ROUND((Settings!$C$6+16*Settings!$C$7/1440)*1440,0),1440)/1440)</f>
        <v/>
      </c>
      <c r="AC25" s="8" t="n"/>
      <c r="AD25" s="8" t="n"/>
      <c r="AE25" s="8" t="n"/>
      <c r="AF25" s="8" t="n"/>
      <c r="AH25" s="37">
        <f>IF(16*Settings!$C$7&gt;=1440,"",MOD(ROUND((Settings!$C$6+16*Settings!$C$7/1440)*1440,0),1440)/1440)</f>
        <v/>
      </c>
      <c r="AI25" s="8" t="n"/>
      <c r="AJ25" s="8" t="n"/>
      <c r="AK25" s="8" t="n"/>
      <c r="AL25" s="8" t="n"/>
      <c r="AN25" s="37">
        <f>IF(16*Settings!$C$7&gt;=1440,"",MOD(ROUND((Settings!$C$6+16*Settings!$C$7/1440)*1440,0),1440)/1440)</f>
        <v/>
      </c>
      <c r="AO25" s="8" t="n"/>
      <c r="AP25" s="8" t="n"/>
      <c r="AQ25" s="8" t="n"/>
      <c r="AR25" s="8" t="n"/>
      <c r="AT25" s="37">
        <f>IF(16*Settings!$C$7&gt;=1440,"",MOD(ROUND((Settings!$C$6+16*Settings!$C$7/1440)*1440,0),1440)/1440)</f>
        <v/>
      </c>
      <c r="AU25" s="8" t="n"/>
      <c r="AV25" s="8" t="n"/>
      <c r="AW25" s="8" t="n"/>
      <c r="AX25" s="8" t="n"/>
      <c r="BA25" s="13">
        <f>IF(Settings!$B$56="","",Settings!$B$56)</f>
        <v/>
      </c>
      <c r="BB25" s="14" t="b">
        <v>0</v>
      </c>
      <c r="BC25" s="14" t="b">
        <v>0</v>
      </c>
      <c r="BD25" s="14" t="b">
        <v>0</v>
      </c>
      <c r="BE25" s="14" t="b">
        <v>0</v>
      </c>
      <c r="BF25" s="14" t="b">
        <v>0</v>
      </c>
      <c r="BG25" s="14" t="b">
        <v>0</v>
      </c>
      <c r="BH25" s="14" t="b">
        <v>0</v>
      </c>
      <c r="BI25" s="34">
        <f>IF($BA25="","",COUNTIF(BB25:BH25,TRUE)/7)</f>
        <v/>
      </c>
      <c r="BJ25" s="36">
        <f>IF(BI25="","",REPT("█",ROUND(BI25*10,0))&amp;REPT("░",10-ROUND(BI25*10,0)))</f>
        <v/>
      </c>
    </row>
    <row r="26">
      <c r="B26" s="14" t="b">
        <v>0</v>
      </c>
      <c r="C26" s="8" t="n"/>
      <c r="D26" s="8" t="n"/>
      <c r="E26" s="8" t="n"/>
      <c r="F26" s="8" t="n"/>
      <c r="G26" s="8" t="n"/>
      <c r="H26" s="8" t="n"/>
      <c r="J26" s="37">
        <f>IF(17*Settings!$C$7&gt;=1440,"",MOD(ROUND((Settings!$C$6+17*Settings!$C$7/1440)*1440,0),1440)/1440)</f>
        <v/>
      </c>
      <c r="K26" s="8" t="n"/>
      <c r="L26" s="8" t="n"/>
      <c r="M26" s="8" t="n"/>
      <c r="N26" s="8" t="n"/>
      <c r="P26" s="37">
        <f>IF(17*Settings!$C$7&gt;=1440,"",MOD(ROUND((Settings!$C$6+17*Settings!$C$7/1440)*1440,0),1440)/1440)</f>
        <v/>
      </c>
      <c r="Q26" s="8" t="n"/>
      <c r="R26" s="8" t="n"/>
      <c r="S26" s="8" t="n"/>
      <c r="T26" s="8" t="n"/>
      <c r="V26" s="37">
        <f>IF(17*Settings!$C$7&gt;=1440,"",MOD(ROUND((Settings!$C$6+17*Settings!$C$7/1440)*1440,0),1440)/1440)</f>
        <v/>
      </c>
      <c r="W26" s="8" t="n"/>
      <c r="X26" s="8" t="n"/>
      <c r="Y26" s="8" t="n"/>
      <c r="Z26" s="8" t="n"/>
      <c r="AB26" s="37">
        <f>IF(17*Settings!$C$7&gt;=1440,"",MOD(ROUND((Settings!$C$6+17*Settings!$C$7/1440)*1440,0),1440)/1440)</f>
        <v/>
      </c>
      <c r="AC26" s="8" t="n"/>
      <c r="AD26" s="8" t="n"/>
      <c r="AE26" s="8" t="n"/>
      <c r="AF26" s="8" t="n"/>
      <c r="AH26" s="37">
        <f>IF(17*Settings!$C$7&gt;=1440,"",MOD(ROUND((Settings!$C$6+17*Settings!$C$7/1440)*1440,0),1440)/1440)</f>
        <v/>
      </c>
      <c r="AI26" s="8" t="n"/>
      <c r="AJ26" s="8" t="n"/>
      <c r="AK26" s="8" t="n"/>
      <c r="AL26" s="8" t="n"/>
      <c r="AN26" s="37">
        <f>IF(17*Settings!$C$7&gt;=1440,"",MOD(ROUND((Settings!$C$6+17*Settings!$C$7/1440)*1440,0),1440)/1440)</f>
        <v/>
      </c>
      <c r="AO26" s="8" t="n"/>
      <c r="AP26" s="8" t="n"/>
      <c r="AQ26" s="8" t="n"/>
      <c r="AR26" s="8" t="n"/>
      <c r="AT26" s="37">
        <f>IF(17*Settings!$C$7&gt;=1440,"",MOD(ROUND((Settings!$C$6+17*Settings!$C$7/1440)*1440,0),1440)/1440)</f>
        <v/>
      </c>
      <c r="AU26" s="8" t="n"/>
      <c r="AV26" s="8" t="n"/>
      <c r="AW26" s="8" t="n"/>
      <c r="AX26" s="8" t="n"/>
      <c r="BA26" s="13">
        <f>IF(Settings!$B$57="","",Settings!$B$57)</f>
        <v/>
      </c>
      <c r="BB26" s="14" t="b">
        <v>0</v>
      </c>
      <c r="BC26" s="14" t="b">
        <v>0</v>
      </c>
      <c r="BD26" s="14" t="b">
        <v>0</v>
      </c>
      <c r="BE26" s="14" t="b">
        <v>0</v>
      </c>
      <c r="BF26" s="14" t="b">
        <v>0</v>
      </c>
      <c r="BG26" s="14" t="b">
        <v>0</v>
      </c>
      <c r="BH26" s="14" t="b">
        <v>0</v>
      </c>
      <c r="BI26" s="34">
        <f>IF($BA26="","",COUNTIF(BB26:BH26,TRUE)/7)</f>
        <v/>
      </c>
      <c r="BJ26" s="36">
        <f>IF(BI26="","",REPT("█",ROUND(BI26*10,0))&amp;REPT("░",10-ROUND(BI26*10,0)))</f>
        <v/>
      </c>
    </row>
    <row r="27">
      <c r="B27" s="14" t="b">
        <v>0</v>
      </c>
      <c r="C27" s="8" t="n"/>
      <c r="D27" s="8" t="n"/>
      <c r="E27" s="8" t="n"/>
      <c r="F27" s="8" t="n"/>
      <c r="G27" s="8" t="n"/>
      <c r="H27" s="8" t="n"/>
      <c r="J27" s="37">
        <f>IF(18*Settings!$C$7&gt;=1440,"",MOD(ROUND((Settings!$C$6+18*Settings!$C$7/1440)*1440,0),1440)/1440)</f>
        <v/>
      </c>
      <c r="K27" s="8" t="n"/>
      <c r="L27" s="8" t="n"/>
      <c r="M27" s="8" t="n"/>
      <c r="N27" s="8" t="n"/>
      <c r="P27" s="37">
        <f>IF(18*Settings!$C$7&gt;=1440,"",MOD(ROUND((Settings!$C$6+18*Settings!$C$7/1440)*1440,0),1440)/1440)</f>
        <v/>
      </c>
      <c r="Q27" s="8" t="n"/>
      <c r="R27" s="8" t="n"/>
      <c r="S27" s="8" t="n"/>
      <c r="T27" s="8" t="n"/>
      <c r="V27" s="37">
        <f>IF(18*Settings!$C$7&gt;=1440,"",MOD(ROUND((Settings!$C$6+18*Settings!$C$7/1440)*1440,0),1440)/1440)</f>
        <v/>
      </c>
      <c r="W27" s="8" t="n"/>
      <c r="X27" s="8" t="n"/>
      <c r="Y27" s="8" t="n"/>
      <c r="Z27" s="8" t="n"/>
      <c r="AB27" s="37">
        <f>IF(18*Settings!$C$7&gt;=1440,"",MOD(ROUND((Settings!$C$6+18*Settings!$C$7/1440)*1440,0),1440)/1440)</f>
        <v/>
      </c>
      <c r="AC27" s="8" t="n"/>
      <c r="AD27" s="8" t="n"/>
      <c r="AE27" s="8" t="n"/>
      <c r="AF27" s="8" t="n"/>
      <c r="AH27" s="37">
        <f>IF(18*Settings!$C$7&gt;=1440,"",MOD(ROUND((Settings!$C$6+18*Settings!$C$7/1440)*1440,0),1440)/1440)</f>
        <v/>
      </c>
      <c r="AI27" s="8" t="n"/>
      <c r="AJ27" s="8" t="n"/>
      <c r="AK27" s="8" t="n"/>
      <c r="AL27" s="8" t="n"/>
      <c r="AN27" s="37">
        <f>IF(18*Settings!$C$7&gt;=1440,"",MOD(ROUND((Settings!$C$6+18*Settings!$C$7/1440)*1440,0),1440)/1440)</f>
        <v/>
      </c>
      <c r="AO27" s="8" t="n"/>
      <c r="AP27" s="8" t="n"/>
      <c r="AQ27" s="8" t="n"/>
      <c r="AR27" s="8" t="n"/>
      <c r="AT27" s="37">
        <f>IF(18*Settings!$C$7&gt;=1440,"",MOD(ROUND((Settings!$C$6+18*Settings!$C$7/1440)*1440,0),1440)/1440)</f>
        <v/>
      </c>
      <c r="AU27" s="8" t="n"/>
      <c r="AV27" s="8" t="n"/>
      <c r="AW27" s="8" t="n"/>
      <c r="AX27" s="8" t="n"/>
      <c r="BA27" s="38" t="inlineStr">
        <is>
          <t>Daily completion</t>
        </is>
      </c>
      <c r="BB27" s="34">
        <f>IFERROR(SUMPRODUCT(($BA$6:$BA$26&lt;&gt;"")*(BB$6:BB$26=TRUE))/SUMPRODUCT(($BA$6:$BA$26&lt;&gt;"")*1),0)</f>
        <v/>
      </c>
      <c r="BC27" s="34">
        <f>IFERROR(SUMPRODUCT(($BA$6:$BA$26&lt;&gt;"")*(BC$6:BC$26=TRUE))/SUMPRODUCT(($BA$6:$BA$26&lt;&gt;"")*1),0)</f>
        <v/>
      </c>
      <c r="BD27" s="34">
        <f>IFERROR(SUMPRODUCT(($BA$6:$BA$26&lt;&gt;"")*(BD$6:BD$26=TRUE))/SUMPRODUCT(($BA$6:$BA$26&lt;&gt;"")*1),0)</f>
        <v/>
      </c>
      <c r="BE27" s="34">
        <f>IFERROR(SUMPRODUCT(($BA$6:$BA$26&lt;&gt;"")*(BE$6:BE$26=TRUE))/SUMPRODUCT(($BA$6:$BA$26&lt;&gt;"")*1),0)</f>
        <v/>
      </c>
      <c r="BF27" s="34">
        <f>IFERROR(SUMPRODUCT(($BA$6:$BA$26&lt;&gt;"")*(BF$6:BF$26=TRUE))/SUMPRODUCT(($BA$6:$BA$26&lt;&gt;"")*1),0)</f>
        <v/>
      </c>
      <c r="BG27" s="34">
        <f>IFERROR(SUMPRODUCT(($BA$6:$BA$26&lt;&gt;"")*(BG$6:BG$26=TRUE))/SUMPRODUCT(($BA$6:$BA$26&lt;&gt;"")*1),0)</f>
        <v/>
      </c>
      <c r="BH27" s="34">
        <f>IFERROR(SUMPRODUCT(($BA$6:$BA$26&lt;&gt;"")*(BH$6:BH$26=TRUE))/SUMPRODUCT(($BA$6:$BA$26&lt;&gt;"")*1),0)</f>
        <v/>
      </c>
      <c r="BI27" s="34">
        <f>IFERROR(SUMPRODUCT(($BA$6:$BA$26&lt;&gt;"")*($BB$6:$BH$26=TRUE))/(SUMPRODUCT(($BA$6:$BA$26&lt;&gt;"")*1)*7),0)</f>
        <v/>
      </c>
      <c r="BJ27" s="36">
        <f>IF(BI27="","",REPT("█",ROUND(BI27*10,0))&amp;REPT("░",10-ROUND(BI27*10,0)))</f>
        <v/>
      </c>
    </row>
    <row r="28">
      <c r="J28" s="37">
        <f>IF(19*Settings!$C$7&gt;=1440,"",MOD(ROUND((Settings!$C$6+19*Settings!$C$7/1440)*1440,0),1440)/1440)</f>
        <v/>
      </c>
      <c r="K28" s="8" t="n"/>
      <c r="L28" s="8" t="n"/>
      <c r="M28" s="8" t="n"/>
      <c r="N28" s="8" t="n"/>
      <c r="P28" s="37">
        <f>IF(19*Settings!$C$7&gt;=1440,"",MOD(ROUND((Settings!$C$6+19*Settings!$C$7/1440)*1440,0),1440)/1440)</f>
        <v/>
      </c>
      <c r="Q28" s="8" t="n"/>
      <c r="R28" s="8" t="n"/>
      <c r="S28" s="8" t="n"/>
      <c r="T28" s="8" t="n"/>
      <c r="V28" s="37">
        <f>IF(19*Settings!$C$7&gt;=1440,"",MOD(ROUND((Settings!$C$6+19*Settings!$C$7/1440)*1440,0),1440)/1440)</f>
        <v/>
      </c>
      <c r="W28" s="8" t="n"/>
      <c r="X28" s="8" t="n"/>
      <c r="Y28" s="8" t="n"/>
      <c r="Z28" s="8" t="n"/>
      <c r="AB28" s="37">
        <f>IF(19*Settings!$C$7&gt;=1440,"",MOD(ROUND((Settings!$C$6+19*Settings!$C$7/1440)*1440,0),1440)/1440)</f>
        <v/>
      </c>
      <c r="AC28" s="8" t="n"/>
      <c r="AD28" s="8" t="n"/>
      <c r="AE28" s="8" t="n"/>
      <c r="AF28" s="8" t="n"/>
      <c r="AH28" s="37">
        <f>IF(19*Settings!$C$7&gt;=1440,"",MOD(ROUND((Settings!$C$6+19*Settings!$C$7/1440)*1440,0),1440)/1440)</f>
        <v/>
      </c>
      <c r="AI28" s="8" t="n"/>
      <c r="AJ28" s="8" t="n"/>
      <c r="AK28" s="8" t="n"/>
      <c r="AL28" s="8" t="n"/>
      <c r="AN28" s="37">
        <f>IF(19*Settings!$C$7&gt;=1440,"",MOD(ROUND((Settings!$C$6+19*Settings!$C$7/1440)*1440,0),1440)/1440)</f>
        <v/>
      </c>
      <c r="AO28" s="8" t="n"/>
      <c r="AP28" s="8" t="n"/>
      <c r="AQ28" s="8" t="n"/>
      <c r="AR28" s="8" t="n"/>
      <c r="AT28" s="37">
        <f>IF(19*Settings!$C$7&gt;=1440,"",MOD(ROUND((Settings!$C$6+19*Settings!$C$7/1440)*1440,0),1440)/1440)</f>
        <v/>
      </c>
      <c r="AU28" s="8" t="n"/>
      <c r="AV28" s="8" t="n"/>
      <c r="AW28" s="8" t="n"/>
      <c r="AX28" s="8" t="n"/>
    </row>
    <row r="29">
      <c r="J29" s="37">
        <f>IF(20*Settings!$C$7&gt;=1440,"",MOD(ROUND((Settings!$C$6+20*Settings!$C$7/1440)*1440,0),1440)/1440)</f>
        <v/>
      </c>
      <c r="K29" s="8" t="n"/>
      <c r="L29" s="8" t="n"/>
      <c r="M29" s="8" t="n"/>
      <c r="N29" s="8" t="n"/>
      <c r="P29" s="37">
        <f>IF(20*Settings!$C$7&gt;=1440,"",MOD(ROUND((Settings!$C$6+20*Settings!$C$7/1440)*1440,0),1440)/1440)</f>
        <v/>
      </c>
      <c r="Q29" s="8" t="n"/>
      <c r="R29" s="8" t="n"/>
      <c r="S29" s="8" t="n"/>
      <c r="T29" s="8" t="n"/>
      <c r="V29" s="37">
        <f>IF(20*Settings!$C$7&gt;=1440,"",MOD(ROUND((Settings!$C$6+20*Settings!$C$7/1440)*1440,0),1440)/1440)</f>
        <v/>
      </c>
      <c r="W29" s="8" t="n"/>
      <c r="X29" s="8" t="n"/>
      <c r="Y29" s="8" t="n"/>
      <c r="Z29" s="8" t="n"/>
      <c r="AB29" s="37">
        <f>IF(20*Settings!$C$7&gt;=1440,"",MOD(ROUND((Settings!$C$6+20*Settings!$C$7/1440)*1440,0),1440)/1440)</f>
        <v/>
      </c>
      <c r="AC29" s="8" t="n"/>
      <c r="AD29" s="8" t="n"/>
      <c r="AE29" s="8" t="n"/>
      <c r="AF29" s="8" t="n"/>
      <c r="AH29" s="37">
        <f>IF(20*Settings!$C$7&gt;=1440,"",MOD(ROUND((Settings!$C$6+20*Settings!$C$7/1440)*1440,0),1440)/1440)</f>
        <v/>
      </c>
      <c r="AI29" s="8" t="n"/>
      <c r="AJ29" s="8" t="n"/>
      <c r="AK29" s="8" t="n"/>
      <c r="AL29" s="8" t="n"/>
      <c r="AN29" s="37">
        <f>IF(20*Settings!$C$7&gt;=1440,"",MOD(ROUND((Settings!$C$6+20*Settings!$C$7/1440)*1440,0),1440)/1440)</f>
        <v/>
      </c>
      <c r="AO29" s="8" t="n"/>
      <c r="AP29" s="8" t="n"/>
      <c r="AQ29" s="8" t="n"/>
      <c r="AR29" s="8" t="n"/>
      <c r="AT29" s="37">
        <f>IF(20*Settings!$C$7&gt;=1440,"",MOD(ROUND((Settings!$C$6+20*Settings!$C$7/1440)*1440,0),1440)/1440)</f>
        <v/>
      </c>
      <c r="AU29" s="8" t="n"/>
      <c r="AV29" s="8" t="n"/>
      <c r="AW29" s="8" t="n"/>
      <c r="AX29" s="8" t="n"/>
    </row>
    <row r="30">
      <c r="J30" s="37">
        <f>IF(21*Settings!$C$7&gt;=1440,"",MOD(ROUND((Settings!$C$6+21*Settings!$C$7/1440)*1440,0),1440)/1440)</f>
        <v/>
      </c>
      <c r="K30" s="8" t="n"/>
      <c r="L30" s="8" t="n"/>
      <c r="M30" s="8" t="n"/>
      <c r="N30" s="8" t="n"/>
      <c r="P30" s="37">
        <f>IF(21*Settings!$C$7&gt;=1440,"",MOD(ROUND((Settings!$C$6+21*Settings!$C$7/1440)*1440,0),1440)/1440)</f>
        <v/>
      </c>
      <c r="Q30" s="8" t="n"/>
      <c r="R30" s="8" t="n"/>
      <c r="S30" s="8" t="n"/>
      <c r="T30" s="8" t="n"/>
      <c r="V30" s="37">
        <f>IF(21*Settings!$C$7&gt;=1440,"",MOD(ROUND((Settings!$C$6+21*Settings!$C$7/1440)*1440,0),1440)/1440)</f>
        <v/>
      </c>
      <c r="W30" s="8" t="n"/>
      <c r="X30" s="8" t="n"/>
      <c r="Y30" s="8" t="n"/>
      <c r="Z30" s="8" t="n"/>
      <c r="AB30" s="37">
        <f>IF(21*Settings!$C$7&gt;=1440,"",MOD(ROUND((Settings!$C$6+21*Settings!$C$7/1440)*1440,0),1440)/1440)</f>
        <v/>
      </c>
      <c r="AC30" s="8" t="n"/>
      <c r="AD30" s="8" t="n"/>
      <c r="AE30" s="8" t="n"/>
      <c r="AF30" s="8" t="n"/>
      <c r="AH30" s="37">
        <f>IF(21*Settings!$C$7&gt;=1440,"",MOD(ROUND((Settings!$C$6+21*Settings!$C$7/1440)*1440,0),1440)/1440)</f>
        <v/>
      </c>
      <c r="AI30" s="8" t="n"/>
      <c r="AJ30" s="8" t="n"/>
      <c r="AK30" s="8" t="n"/>
      <c r="AL30" s="8" t="n"/>
      <c r="AN30" s="37">
        <f>IF(21*Settings!$C$7&gt;=1440,"",MOD(ROUND((Settings!$C$6+21*Settings!$C$7/1440)*1440,0),1440)/1440)</f>
        <v/>
      </c>
      <c r="AO30" s="8" t="n"/>
      <c r="AP30" s="8" t="n"/>
      <c r="AQ30" s="8" t="n"/>
      <c r="AR30" s="8" t="n"/>
      <c r="AT30" s="37">
        <f>IF(21*Settings!$C$7&gt;=1440,"",MOD(ROUND((Settings!$C$6+21*Settings!$C$7/1440)*1440,0),1440)/1440)</f>
        <v/>
      </c>
      <c r="AU30" s="8" t="n"/>
      <c r="AV30" s="8" t="n"/>
      <c r="AW30" s="8" t="n"/>
      <c r="AX30" s="8" t="n"/>
      <c r="BA30" s="6">
        <f>IF(Settings!$C$101="",Settings!$B$101,Settings!$C$101)</f>
        <v/>
      </c>
      <c r="BB30" s="6" t="n"/>
      <c r="BC30" s="6" t="n"/>
      <c r="BD30" s="6" t="n"/>
      <c r="BE30" s="6" t="n"/>
      <c r="BF30" s="6" t="n"/>
      <c r="BG30" s="6" t="n"/>
      <c r="BH30" s="6" t="n"/>
      <c r="BI30" s="39" t="inlineStr">
        <is>
          <t>Avg</t>
        </is>
      </c>
      <c r="BJ30" s="39" t="inlineStr">
        <is>
          <t>Total</t>
        </is>
      </c>
    </row>
    <row r="31">
      <c r="J31" s="37">
        <f>IF(22*Settings!$C$7&gt;=1440,"",MOD(ROUND((Settings!$C$6+22*Settings!$C$7/1440)*1440,0),1440)/1440)</f>
        <v/>
      </c>
      <c r="K31" s="8" t="n"/>
      <c r="L31" s="8" t="n"/>
      <c r="M31" s="8" t="n"/>
      <c r="N31" s="8" t="n"/>
      <c r="P31" s="37">
        <f>IF(22*Settings!$C$7&gt;=1440,"",MOD(ROUND((Settings!$C$6+22*Settings!$C$7/1440)*1440,0),1440)/1440)</f>
        <v/>
      </c>
      <c r="Q31" s="8" t="n"/>
      <c r="R31" s="8" t="n"/>
      <c r="S31" s="8" t="n"/>
      <c r="T31" s="8" t="n"/>
      <c r="V31" s="37">
        <f>IF(22*Settings!$C$7&gt;=1440,"",MOD(ROUND((Settings!$C$6+22*Settings!$C$7/1440)*1440,0),1440)/1440)</f>
        <v/>
      </c>
      <c r="W31" s="8" t="n"/>
      <c r="X31" s="8" t="n"/>
      <c r="Y31" s="8" t="n"/>
      <c r="Z31" s="8" t="n"/>
      <c r="AB31" s="37">
        <f>IF(22*Settings!$C$7&gt;=1440,"",MOD(ROUND((Settings!$C$6+22*Settings!$C$7/1440)*1440,0),1440)/1440)</f>
        <v/>
      </c>
      <c r="AC31" s="8" t="n"/>
      <c r="AD31" s="8" t="n"/>
      <c r="AE31" s="8" t="n"/>
      <c r="AF31" s="8" t="n"/>
      <c r="AH31" s="37">
        <f>IF(22*Settings!$C$7&gt;=1440,"",MOD(ROUND((Settings!$C$6+22*Settings!$C$7/1440)*1440,0),1440)/1440)</f>
        <v/>
      </c>
      <c r="AI31" s="8" t="n"/>
      <c r="AJ31" s="8" t="n"/>
      <c r="AK31" s="8" t="n"/>
      <c r="AL31" s="8" t="n"/>
      <c r="AN31" s="37">
        <f>IF(22*Settings!$C$7&gt;=1440,"",MOD(ROUND((Settings!$C$6+22*Settings!$C$7/1440)*1440,0),1440)/1440)</f>
        <v/>
      </c>
      <c r="AO31" s="8" t="n"/>
      <c r="AP31" s="8" t="n"/>
      <c r="AQ31" s="8" t="n"/>
      <c r="AR31" s="8" t="n"/>
      <c r="AT31" s="37">
        <f>IF(22*Settings!$C$7&gt;=1440,"",MOD(ROUND((Settings!$C$6+22*Settings!$C$7/1440)*1440,0),1440)/1440)</f>
        <v/>
      </c>
      <c r="AU31" s="8" t="n"/>
      <c r="AV31" s="8" t="n"/>
      <c r="AW31" s="8" t="n"/>
      <c r="AX31" s="8" t="n"/>
      <c r="BA31" s="40">
        <f>Settings!$B$61&amp;IF(Settings!$C$61&lt;&gt;""," ("&amp;Settings!$C$61&amp;")","")</f>
        <v/>
      </c>
      <c r="BB31" s="14" t="n"/>
      <c r="BC31" s="14" t="n"/>
      <c r="BD31" s="14" t="n"/>
      <c r="BE31" s="14" t="n"/>
      <c r="BF31" s="14" t="n"/>
      <c r="BG31" s="14" t="n"/>
      <c r="BH31" s="14" t="n"/>
      <c r="BI31" s="41">
        <f>IFERROR(AVERAGE(BB31:BH31),0)</f>
        <v/>
      </c>
      <c r="BJ31" s="41">
        <f>SUM(BB31:BH31)</f>
        <v/>
      </c>
      <c r="BM31">
        <f>IF(BB31="","",IFERROR(MIN(1,MAX(0,(BB31-Settings!$D$61)/(Settings!$E$61-Settings!$D$61))),0))</f>
        <v/>
      </c>
      <c r="BN31">
        <f>IF(BC31="","",IFERROR(MIN(1,MAX(0,(BC31-Settings!$D$61)/(Settings!$E$61-Settings!$D$61))),0))</f>
        <v/>
      </c>
      <c r="BO31">
        <f>IF(BD31="","",IFERROR(MIN(1,MAX(0,(BD31-Settings!$D$61)/(Settings!$E$61-Settings!$D$61))),0))</f>
        <v/>
      </c>
      <c r="BP31">
        <f>IF(BE31="","",IFERROR(MIN(1,MAX(0,(BE31-Settings!$D$61)/(Settings!$E$61-Settings!$D$61))),0))</f>
        <v/>
      </c>
      <c r="BQ31">
        <f>IF(BF31="","",IFERROR(MIN(1,MAX(0,(BF31-Settings!$D$61)/(Settings!$E$61-Settings!$D$61))),0))</f>
        <v/>
      </c>
      <c r="BR31">
        <f>IF(BG31="","",IFERROR(MIN(1,MAX(0,(BG31-Settings!$D$61)/(Settings!$E$61-Settings!$D$61))),0))</f>
        <v/>
      </c>
      <c r="BS31">
        <f>IF(BH31="","",IFERROR(MIN(1,MAX(0,(BH31-Settings!$D$61)/(Settings!$E$61-Settings!$D$61))),0))</f>
        <v/>
      </c>
      <c r="BT31">
        <f>IFERROR(MIN(1,MAX(0,(BI31-Settings!$D$61)/(Settings!$E$61-Settings!$D$61))),0)</f>
        <v/>
      </c>
    </row>
    <row r="32">
      <c r="J32" s="37">
        <f>IF(23*Settings!$C$7&gt;=1440,"",MOD(ROUND((Settings!$C$6+23*Settings!$C$7/1440)*1440,0),1440)/1440)</f>
        <v/>
      </c>
      <c r="K32" s="8" t="n"/>
      <c r="L32" s="8" t="n"/>
      <c r="M32" s="8" t="n"/>
      <c r="N32" s="8" t="n"/>
      <c r="P32" s="37">
        <f>IF(23*Settings!$C$7&gt;=1440,"",MOD(ROUND((Settings!$C$6+23*Settings!$C$7/1440)*1440,0),1440)/1440)</f>
        <v/>
      </c>
      <c r="Q32" s="8" t="n"/>
      <c r="R32" s="8" t="n"/>
      <c r="S32" s="8" t="n"/>
      <c r="T32" s="8" t="n"/>
      <c r="V32" s="37">
        <f>IF(23*Settings!$C$7&gt;=1440,"",MOD(ROUND((Settings!$C$6+23*Settings!$C$7/1440)*1440,0),1440)/1440)</f>
        <v/>
      </c>
      <c r="W32" s="8" t="n"/>
      <c r="X32" s="8" t="n"/>
      <c r="Y32" s="8" t="n"/>
      <c r="Z32" s="8" t="n"/>
      <c r="AB32" s="37">
        <f>IF(23*Settings!$C$7&gt;=1440,"",MOD(ROUND((Settings!$C$6+23*Settings!$C$7/1440)*1440,0),1440)/1440)</f>
        <v/>
      </c>
      <c r="AC32" s="8" t="n"/>
      <c r="AD32" s="8" t="n"/>
      <c r="AE32" s="8" t="n"/>
      <c r="AF32" s="8" t="n"/>
      <c r="AH32" s="37">
        <f>IF(23*Settings!$C$7&gt;=1440,"",MOD(ROUND((Settings!$C$6+23*Settings!$C$7/1440)*1440,0),1440)/1440)</f>
        <v/>
      </c>
      <c r="AI32" s="8" t="n"/>
      <c r="AJ32" s="8" t="n"/>
      <c r="AK32" s="8" t="n"/>
      <c r="AL32" s="8" t="n"/>
      <c r="AN32" s="37">
        <f>IF(23*Settings!$C$7&gt;=1440,"",MOD(ROUND((Settings!$C$6+23*Settings!$C$7/1440)*1440,0),1440)/1440)</f>
        <v/>
      </c>
      <c r="AO32" s="8" t="n"/>
      <c r="AP32" s="8" t="n"/>
      <c r="AQ32" s="8" t="n"/>
      <c r="AR32" s="8" t="n"/>
      <c r="AT32" s="37">
        <f>IF(23*Settings!$C$7&gt;=1440,"",MOD(ROUND((Settings!$C$6+23*Settings!$C$7/1440)*1440,0),1440)/1440)</f>
        <v/>
      </c>
      <c r="AU32" s="8" t="n"/>
      <c r="AV32" s="8" t="n"/>
      <c r="AW32" s="8" t="n"/>
      <c r="AX32" s="8" t="n"/>
      <c r="BA32" s="42" t="inlineStr">
        <is>
          <t>progress</t>
        </is>
      </c>
      <c r="BB32" s="43">
        <f>IF(BM31="","",REPT("█",ROUND(BM31*5,0))&amp;REPT("░",5-ROUND(BM31*5,0)))</f>
        <v/>
      </c>
      <c r="BC32" s="43">
        <f>IF(BN31="","",REPT("█",ROUND(BN31*5,0))&amp;REPT("░",5-ROUND(BN31*5,0)))</f>
        <v/>
      </c>
      <c r="BD32" s="43">
        <f>IF(BO31="","",REPT("█",ROUND(BO31*5,0))&amp;REPT("░",5-ROUND(BO31*5,0)))</f>
        <v/>
      </c>
      <c r="BE32" s="43">
        <f>IF(BP31="","",REPT("█",ROUND(BP31*5,0))&amp;REPT("░",5-ROUND(BP31*5,0)))</f>
        <v/>
      </c>
      <c r="BF32" s="43">
        <f>IF(BQ31="","",REPT("█",ROUND(BQ31*5,0))&amp;REPT("░",5-ROUND(BQ31*5,0)))</f>
        <v/>
      </c>
      <c r="BG32" s="43">
        <f>IF(BR31="","",REPT("█",ROUND(BR31*5,0))&amp;REPT("░",5-ROUND(BR31*5,0)))</f>
        <v/>
      </c>
      <c r="BH32" s="43">
        <f>IF(BS31="","",REPT("█",ROUND(BS31*5,0))&amp;REPT("░",5-ROUND(BS31*5,0)))</f>
        <v/>
      </c>
      <c r="BI32" s="43">
        <f>IF(BT31="","",REPT("█",ROUND(BT31*5,0))&amp;REPT("░",5-ROUND(BT31*5,0)))</f>
        <v/>
      </c>
    </row>
    <row r="33">
      <c r="J33" s="37">
        <f>IF(24*Settings!$C$7&gt;=1440,"",MOD(ROUND((Settings!$C$6+24*Settings!$C$7/1440)*1440,0),1440)/1440)</f>
        <v/>
      </c>
      <c r="K33" s="8" t="n"/>
      <c r="L33" s="8" t="n"/>
      <c r="M33" s="8" t="n"/>
      <c r="N33" s="8" t="n"/>
      <c r="P33" s="37">
        <f>IF(24*Settings!$C$7&gt;=1440,"",MOD(ROUND((Settings!$C$6+24*Settings!$C$7/1440)*1440,0),1440)/1440)</f>
        <v/>
      </c>
      <c r="Q33" s="8" t="n"/>
      <c r="R33" s="8" t="n"/>
      <c r="S33" s="8" t="n"/>
      <c r="T33" s="8" t="n"/>
      <c r="V33" s="37">
        <f>IF(24*Settings!$C$7&gt;=1440,"",MOD(ROUND((Settings!$C$6+24*Settings!$C$7/1440)*1440,0),1440)/1440)</f>
        <v/>
      </c>
      <c r="W33" s="8" t="n"/>
      <c r="X33" s="8" t="n"/>
      <c r="Y33" s="8" t="n"/>
      <c r="Z33" s="8" t="n"/>
      <c r="AB33" s="37">
        <f>IF(24*Settings!$C$7&gt;=1440,"",MOD(ROUND((Settings!$C$6+24*Settings!$C$7/1440)*1440,0),1440)/1440)</f>
        <v/>
      </c>
      <c r="AC33" s="8" t="n"/>
      <c r="AD33" s="8" t="n"/>
      <c r="AE33" s="8" t="n"/>
      <c r="AF33" s="8" t="n"/>
      <c r="AH33" s="37">
        <f>IF(24*Settings!$C$7&gt;=1440,"",MOD(ROUND((Settings!$C$6+24*Settings!$C$7/1440)*1440,0),1440)/1440)</f>
        <v/>
      </c>
      <c r="AI33" s="8" t="n"/>
      <c r="AJ33" s="8" t="n"/>
      <c r="AK33" s="8" t="n"/>
      <c r="AL33" s="8" t="n"/>
      <c r="AN33" s="37">
        <f>IF(24*Settings!$C$7&gt;=1440,"",MOD(ROUND((Settings!$C$6+24*Settings!$C$7/1440)*1440,0),1440)/1440)</f>
        <v/>
      </c>
      <c r="AO33" s="8" t="n"/>
      <c r="AP33" s="8" t="n"/>
      <c r="AQ33" s="8" t="n"/>
      <c r="AR33" s="8" t="n"/>
      <c r="AT33" s="37">
        <f>IF(24*Settings!$C$7&gt;=1440,"",MOD(ROUND((Settings!$C$6+24*Settings!$C$7/1440)*1440,0),1440)/1440)</f>
        <v/>
      </c>
      <c r="AU33" s="8" t="n"/>
      <c r="AV33" s="8" t="n"/>
      <c r="AW33" s="8" t="n"/>
      <c r="AX33" s="8" t="n"/>
      <c r="BA33" s="40">
        <f>Settings!$B$62&amp;IF(Settings!$C$62&lt;&gt;""," ("&amp;Settings!$C$62&amp;")","")</f>
        <v/>
      </c>
      <c r="BB33" s="14" t="n"/>
      <c r="BC33" s="14" t="n"/>
      <c r="BD33" s="14" t="n"/>
      <c r="BE33" s="14" t="n"/>
      <c r="BF33" s="14" t="n"/>
      <c r="BG33" s="14" t="n"/>
      <c r="BH33" s="14" t="n"/>
      <c r="BI33" s="41">
        <f>IFERROR(AVERAGE(BB33:BH33),0)</f>
        <v/>
      </c>
      <c r="BJ33" s="41">
        <f>SUM(BB33:BH33)</f>
        <v/>
      </c>
      <c r="BM33">
        <f>IF(BB33="","",IFERROR(MIN(1,MAX(0,(BB33-Settings!$D$62)/(Settings!$E$62-Settings!$D$62))),0))</f>
        <v/>
      </c>
      <c r="BN33">
        <f>IF(BC33="","",IFERROR(MIN(1,MAX(0,(BC33-Settings!$D$62)/(Settings!$E$62-Settings!$D$62))),0))</f>
        <v/>
      </c>
      <c r="BO33">
        <f>IF(BD33="","",IFERROR(MIN(1,MAX(0,(BD33-Settings!$D$62)/(Settings!$E$62-Settings!$D$62))),0))</f>
        <v/>
      </c>
      <c r="BP33">
        <f>IF(BE33="","",IFERROR(MIN(1,MAX(0,(BE33-Settings!$D$62)/(Settings!$E$62-Settings!$D$62))),0))</f>
        <v/>
      </c>
      <c r="BQ33">
        <f>IF(BF33="","",IFERROR(MIN(1,MAX(0,(BF33-Settings!$D$62)/(Settings!$E$62-Settings!$D$62))),0))</f>
        <v/>
      </c>
      <c r="BR33">
        <f>IF(BG33="","",IFERROR(MIN(1,MAX(0,(BG33-Settings!$D$62)/(Settings!$E$62-Settings!$D$62))),0))</f>
        <v/>
      </c>
      <c r="BS33">
        <f>IF(BH33="","",IFERROR(MIN(1,MAX(0,(BH33-Settings!$D$62)/(Settings!$E$62-Settings!$D$62))),0))</f>
        <v/>
      </c>
      <c r="BT33">
        <f>IFERROR(MIN(1,MAX(0,(BI33-Settings!$D$62)/(Settings!$E$62-Settings!$D$62))),0)</f>
        <v/>
      </c>
    </row>
    <row r="34">
      <c r="J34" s="37">
        <f>IF(25*Settings!$C$7&gt;=1440,"",MOD(ROUND((Settings!$C$6+25*Settings!$C$7/1440)*1440,0),1440)/1440)</f>
        <v/>
      </c>
      <c r="K34" s="8" t="n"/>
      <c r="L34" s="8" t="n"/>
      <c r="M34" s="8" t="n"/>
      <c r="N34" s="8" t="n"/>
      <c r="P34" s="37">
        <f>IF(25*Settings!$C$7&gt;=1440,"",MOD(ROUND((Settings!$C$6+25*Settings!$C$7/1440)*1440,0),1440)/1440)</f>
        <v/>
      </c>
      <c r="Q34" s="8" t="n"/>
      <c r="R34" s="8" t="n"/>
      <c r="S34" s="8" t="n"/>
      <c r="T34" s="8" t="n"/>
      <c r="V34" s="37">
        <f>IF(25*Settings!$C$7&gt;=1440,"",MOD(ROUND((Settings!$C$6+25*Settings!$C$7/1440)*1440,0),1440)/1440)</f>
        <v/>
      </c>
      <c r="W34" s="8" t="n"/>
      <c r="X34" s="8" t="n"/>
      <c r="Y34" s="8" t="n"/>
      <c r="Z34" s="8" t="n"/>
      <c r="AB34" s="37">
        <f>IF(25*Settings!$C$7&gt;=1440,"",MOD(ROUND((Settings!$C$6+25*Settings!$C$7/1440)*1440,0),1440)/1440)</f>
        <v/>
      </c>
      <c r="AC34" s="8" t="n"/>
      <c r="AD34" s="8" t="n"/>
      <c r="AE34" s="8" t="n"/>
      <c r="AF34" s="8" t="n"/>
      <c r="AH34" s="37">
        <f>IF(25*Settings!$C$7&gt;=1440,"",MOD(ROUND((Settings!$C$6+25*Settings!$C$7/1440)*1440,0),1440)/1440)</f>
        <v/>
      </c>
      <c r="AI34" s="8" t="n"/>
      <c r="AJ34" s="8" t="n"/>
      <c r="AK34" s="8" t="n"/>
      <c r="AL34" s="8" t="n"/>
      <c r="AN34" s="37">
        <f>IF(25*Settings!$C$7&gt;=1440,"",MOD(ROUND((Settings!$C$6+25*Settings!$C$7/1440)*1440,0),1440)/1440)</f>
        <v/>
      </c>
      <c r="AO34" s="8" t="n"/>
      <c r="AP34" s="8" t="n"/>
      <c r="AQ34" s="8" t="n"/>
      <c r="AR34" s="8" t="n"/>
      <c r="AT34" s="37">
        <f>IF(25*Settings!$C$7&gt;=1440,"",MOD(ROUND((Settings!$C$6+25*Settings!$C$7/1440)*1440,0),1440)/1440)</f>
        <v/>
      </c>
      <c r="AU34" s="8" t="n"/>
      <c r="AV34" s="8" t="n"/>
      <c r="AW34" s="8" t="n"/>
      <c r="AX34" s="8" t="n"/>
      <c r="BA34" s="42" t="inlineStr">
        <is>
          <t>progress</t>
        </is>
      </c>
      <c r="BB34" s="43">
        <f>IF(BM33="","",REPT("█",ROUND(BM33*5,0))&amp;REPT("░",5-ROUND(BM33*5,0)))</f>
        <v/>
      </c>
      <c r="BC34" s="43">
        <f>IF(BN33="","",REPT("█",ROUND(BN33*5,0))&amp;REPT("░",5-ROUND(BN33*5,0)))</f>
        <v/>
      </c>
      <c r="BD34" s="43">
        <f>IF(BO33="","",REPT("█",ROUND(BO33*5,0))&amp;REPT("░",5-ROUND(BO33*5,0)))</f>
        <v/>
      </c>
      <c r="BE34" s="43">
        <f>IF(BP33="","",REPT("█",ROUND(BP33*5,0))&amp;REPT("░",5-ROUND(BP33*5,0)))</f>
        <v/>
      </c>
      <c r="BF34" s="43">
        <f>IF(BQ33="","",REPT("█",ROUND(BQ33*5,0))&amp;REPT("░",5-ROUND(BQ33*5,0)))</f>
        <v/>
      </c>
      <c r="BG34" s="43">
        <f>IF(BR33="","",REPT("█",ROUND(BR33*5,0))&amp;REPT("░",5-ROUND(BR33*5,0)))</f>
        <v/>
      </c>
      <c r="BH34" s="43">
        <f>IF(BS33="","",REPT("█",ROUND(BS33*5,0))&amp;REPT("░",5-ROUND(BS33*5,0)))</f>
        <v/>
      </c>
      <c r="BI34" s="43">
        <f>IF(BT33="","",REPT("█",ROUND(BT33*5,0))&amp;REPT("░",5-ROUND(BT33*5,0)))</f>
        <v/>
      </c>
    </row>
    <row r="35">
      <c r="J35" s="37">
        <f>IF(26*Settings!$C$7&gt;=1440,"",MOD(ROUND((Settings!$C$6+26*Settings!$C$7/1440)*1440,0),1440)/1440)</f>
        <v/>
      </c>
      <c r="K35" s="8" t="n"/>
      <c r="L35" s="8" t="n"/>
      <c r="M35" s="8" t="n"/>
      <c r="N35" s="8" t="n"/>
      <c r="P35" s="37">
        <f>IF(26*Settings!$C$7&gt;=1440,"",MOD(ROUND((Settings!$C$6+26*Settings!$C$7/1440)*1440,0),1440)/1440)</f>
        <v/>
      </c>
      <c r="Q35" s="8" t="n"/>
      <c r="R35" s="8" t="n"/>
      <c r="S35" s="8" t="n"/>
      <c r="T35" s="8" t="n"/>
      <c r="V35" s="37">
        <f>IF(26*Settings!$C$7&gt;=1440,"",MOD(ROUND((Settings!$C$6+26*Settings!$C$7/1440)*1440,0),1440)/1440)</f>
        <v/>
      </c>
      <c r="W35" s="8" t="n"/>
      <c r="X35" s="8" t="n"/>
      <c r="Y35" s="8" t="n"/>
      <c r="Z35" s="8" t="n"/>
      <c r="AB35" s="37">
        <f>IF(26*Settings!$C$7&gt;=1440,"",MOD(ROUND((Settings!$C$6+26*Settings!$C$7/1440)*1440,0),1440)/1440)</f>
        <v/>
      </c>
      <c r="AC35" s="8" t="n"/>
      <c r="AD35" s="8" t="n"/>
      <c r="AE35" s="8" t="n"/>
      <c r="AF35" s="8" t="n"/>
      <c r="AH35" s="37">
        <f>IF(26*Settings!$C$7&gt;=1440,"",MOD(ROUND((Settings!$C$6+26*Settings!$C$7/1440)*1440,0),1440)/1440)</f>
        <v/>
      </c>
      <c r="AI35" s="8" t="n"/>
      <c r="AJ35" s="8" t="n"/>
      <c r="AK35" s="8" t="n"/>
      <c r="AL35" s="8" t="n"/>
      <c r="AN35" s="37">
        <f>IF(26*Settings!$C$7&gt;=1440,"",MOD(ROUND((Settings!$C$6+26*Settings!$C$7/1440)*1440,0),1440)/1440)</f>
        <v/>
      </c>
      <c r="AO35" s="8" t="n"/>
      <c r="AP35" s="8" t="n"/>
      <c r="AQ35" s="8" t="n"/>
      <c r="AR35" s="8" t="n"/>
      <c r="AT35" s="37">
        <f>IF(26*Settings!$C$7&gt;=1440,"",MOD(ROUND((Settings!$C$6+26*Settings!$C$7/1440)*1440,0),1440)/1440)</f>
        <v/>
      </c>
      <c r="AU35" s="8" t="n"/>
      <c r="AV35" s="8" t="n"/>
      <c r="AW35" s="8" t="n"/>
      <c r="AX35" s="8" t="n"/>
      <c r="BA35" s="40">
        <f>Settings!$B$63&amp;IF(Settings!$C$63&lt;&gt;""," ("&amp;Settings!$C$63&amp;")","")</f>
        <v/>
      </c>
      <c r="BB35" s="14" t="n"/>
      <c r="BC35" s="14" t="n"/>
      <c r="BD35" s="14" t="n"/>
      <c r="BE35" s="14" t="n"/>
      <c r="BF35" s="14" t="n"/>
      <c r="BG35" s="14" t="n"/>
      <c r="BH35" s="14" t="n"/>
      <c r="BI35" s="41">
        <f>IFERROR(AVERAGE(BB35:BH35),0)</f>
        <v/>
      </c>
      <c r="BJ35" s="41">
        <f>SUM(BB35:BH35)</f>
        <v/>
      </c>
      <c r="BM35">
        <f>IF(BB35="","",IFERROR(MIN(1,MAX(0,(BB35-Settings!$D$63)/(Settings!$E$63-Settings!$D$63))),0))</f>
        <v/>
      </c>
      <c r="BN35">
        <f>IF(BC35="","",IFERROR(MIN(1,MAX(0,(BC35-Settings!$D$63)/(Settings!$E$63-Settings!$D$63))),0))</f>
        <v/>
      </c>
      <c r="BO35">
        <f>IF(BD35="","",IFERROR(MIN(1,MAX(0,(BD35-Settings!$D$63)/(Settings!$E$63-Settings!$D$63))),0))</f>
        <v/>
      </c>
      <c r="BP35">
        <f>IF(BE35="","",IFERROR(MIN(1,MAX(0,(BE35-Settings!$D$63)/(Settings!$E$63-Settings!$D$63))),0))</f>
        <v/>
      </c>
      <c r="BQ35">
        <f>IF(BF35="","",IFERROR(MIN(1,MAX(0,(BF35-Settings!$D$63)/(Settings!$E$63-Settings!$D$63))),0))</f>
        <v/>
      </c>
      <c r="BR35">
        <f>IF(BG35="","",IFERROR(MIN(1,MAX(0,(BG35-Settings!$D$63)/(Settings!$E$63-Settings!$D$63))),0))</f>
        <v/>
      </c>
      <c r="BS35">
        <f>IF(BH35="","",IFERROR(MIN(1,MAX(0,(BH35-Settings!$D$63)/(Settings!$E$63-Settings!$D$63))),0))</f>
        <v/>
      </c>
      <c r="BT35">
        <f>IFERROR(MIN(1,MAX(0,(BI35-Settings!$D$63)/(Settings!$E$63-Settings!$D$63))),0)</f>
        <v/>
      </c>
    </row>
    <row r="36">
      <c r="J36" s="37">
        <f>IF(27*Settings!$C$7&gt;=1440,"",MOD(ROUND((Settings!$C$6+27*Settings!$C$7/1440)*1440,0),1440)/1440)</f>
        <v/>
      </c>
      <c r="K36" s="8" t="n"/>
      <c r="L36" s="8" t="n"/>
      <c r="M36" s="8" t="n"/>
      <c r="N36" s="8" t="n"/>
      <c r="P36" s="37">
        <f>IF(27*Settings!$C$7&gt;=1440,"",MOD(ROUND((Settings!$C$6+27*Settings!$C$7/1440)*1440,0),1440)/1440)</f>
        <v/>
      </c>
      <c r="Q36" s="8" t="n"/>
      <c r="R36" s="8" t="n"/>
      <c r="S36" s="8" t="n"/>
      <c r="T36" s="8" t="n"/>
      <c r="V36" s="37">
        <f>IF(27*Settings!$C$7&gt;=1440,"",MOD(ROUND((Settings!$C$6+27*Settings!$C$7/1440)*1440,0),1440)/1440)</f>
        <v/>
      </c>
      <c r="W36" s="8" t="n"/>
      <c r="X36" s="8" t="n"/>
      <c r="Y36" s="8" t="n"/>
      <c r="Z36" s="8" t="n"/>
      <c r="AB36" s="37">
        <f>IF(27*Settings!$C$7&gt;=1440,"",MOD(ROUND((Settings!$C$6+27*Settings!$C$7/1440)*1440,0),1440)/1440)</f>
        <v/>
      </c>
      <c r="AC36" s="8" t="n"/>
      <c r="AD36" s="8" t="n"/>
      <c r="AE36" s="8" t="n"/>
      <c r="AF36" s="8" t="n"/>
      <c r="AH36" s="37">
        <f>IF(27*Settings!$C$7&gt;=1440,"",MOD(ROUND((Settings!$C$6+27*Settings!$C$7/1440)*1440,0),1440)/1440)</f>
        <v/>
      </c>
      <c r="AI36" s="8" t="n"/>
      <c r="AJ36" s="8" t="n"/>
      <c r="AK36" s="8" t="n"/>
      <c r="AL36" s="8" t="n"/>
      <c r="AN36" s="37">
        <f>IF(27*Settings!$C$7&gt;=1440,"",MOD(ROUND((Settings!$C$6+27*Settings!$C$7/1440)*1440,0),1440)/1440)</f>
        <v/>
      </c>
      <c r="AO36" s="8" t="n"/>
      <c r="AP36" s="8" t="n"/>
      <c r="AQ36" s="8" t="n"/>
      <c r="AR36" s="8" t="n"/>
      <c r="AT36" s="37">
        <f>IF(27*Settings!$C$7&gt;=1440,"",MOD(ROUND((Settings!$C$6+27*Settings!$C$7/1440)*1440,0),1440)/1440)</f>
        <v/>
      </c>
      <c r="AU36" s="8" t="n"/>
      <c r="AV36" s="8" t="n"/>
      <c r="AW36" s="8" t="n"/>
      <c r="AX36" s="8" t="n"/>
      <c r="BA36" s="42" t="inlineStr">
        <is>
          <t>progress</t>
        </is>
      </c>
      <c r="BB36" s="43">
        <f>IF(BM35="","",REPT("█",ROUND(BM35*5,0))&amp;REPT("░",5-ROUND(BM35*5,0)))</f>
        <v/>
      </c>
      <c r="BC36" s="43">
        <f>IF(BN35="","",REPT("█",ROUND(BN35*5,0))&amp;REPT("░",5-ROUND(BN35*5,0)))</f>
        <v/>
      </c>
      <c r="BD36" s="43">
        <f>IF(BO35="","",REPT("█",ROUND(BO35*5,0))&amp;REPT("░",5-ROUND(BO35*5,0)))</f>
        <v/>
      </c>
      <c r="BE36" s="43">
        <f>IF(BP35="","",REPT("█",ROUND(BP35*5,0))&amp;REPT("░",5-ROUND(BP35*5,0)))</f>
        <v/>
      </c>
      <c r="BF36" s="43">
        <f>IF(BQ35="","",REPT("█",ROUND(BQ35*5,0))&amp;REPT("░",5-ROUND(BQ35*5,0)))</f>
        <v/>
      </c>
      <c r="BG36" s="43">
        <f>IF(BR35="","",REPT("█",ROUND(BR35*5,0))&amp;REPT("░",5-ROUND(BR35*5,0)))</f>
        <v/>
      </c>
      <c r="BH36" s="43">
        <f>IF(BS35="","",REPT("█",ROUND(BS35*5,0))&amp;REPT("░",5-ROUND(BS35*5,0)))</f>
        <v/>
      </c>
      <c r="BI36" s="43">
        <f>IF(BT35="","",REPT("█",ROUND(BT35*5,0))&amp;REPT("░",5-ROUND(BT35*5,0)))</f>
        <v/>
      </c>
    </row>
    <row r="37">
      <c r="J37" s="37">
        <f>IF(28*Settings!$C$7&gt;=1440,"",MOD(ROUND((Settings!$C$6+28*Settings!$C$7/1440)*1440,0),1440)/1440)</f>
        <v/>
      </c>
      <c r="K37" s="8" t="n"/>
      <c r="L37" s="8" t="n"/>
      <c r="M37" s="8" t="n"/>
      <c r="N37" s="8" t="n"/>
      <c r="P37" s="37">
        <f>IF(28*Settings!$C$7&gt;=1440,"",MOD(ROUND((Settings!$C$6+28*Settings!$C$7/1440)*1440,0),1440)/1440)</f>
        <v/>
      </c>
      <c r="Q37" s="8" t="n"/>
      <c r="R37" s="8" t="n"/>
      <c r="S37" s="8" t="n"/>
      <c r="T37" s="8" t="n"/>
      <c r="V37" s="37">
        <f>IF(28*Settings!$C$7&gt;=1440,"",MOD(ROUND((Settings!$C$6+28*Settings!$C$7/1440)*1440,0),1440)/1440)</f>
        <v/>
      </c>
      <c r="W37" s="8" t="n"/>
      <c r="X37" s="8" t="n"/>
      <c r="Y37" s="8" t="n"/>
      <c r="Z37" s="8" t="n"/>
      <c r="AB37" s="37">
        <f>IF(28*Settings!$C$7&gt;=1440,"",MOD(ROUND((Settings!$C$6+28*Settings!$C$7/1440)*1440,0),1440)/1440)</f>
        <v/>
      </c>
      <c r="AC37" s="8" t="n"/>
      <c r="AD37" s="8" t="n"/>
      <c r="AE37" s="8" t="n"/>
      <c r="AF37" s="8" t="n"/>
      <c r="AH37" s="37">
        <f>IF(28*Settings!$C$7&gt;=1440,"",MOD(ROUND((Settings!$C$6+28*Settings!$C$7/1440)*1440,0),1440)/1440)</f>
        <v/>
      </c>
      <c r="AI37" s="8" t="n"/>
      <c r="AJ37" s="8" t="n"/>
      <c r="AK37" s="8" t="n"/>
      <c r="AL37" s="8" t="n"/>
      <c r="AN37" s="37">
        <f>IF(28*Settings!$C$7&gt;=1440,"",MOD(ROUND((Settings!$C$6+28*Settings!$C$7/1440)*1440,0),1440)/1440)</f>
        <v/>
      </c>
      <c r="AO37" s="8" t="n"/>
      <c r="AP37" s="8" t="n"/>
      <c r="AQ37" s="8" t="n"/>
      <c r="AR37" s="8" t="n"/>
      <c r="AT37" s="37">
        <f>IF(28*Settings!$C$7&gt;=1440,"",MOD(ROUND((Settings!$C$6+28*Settings!$C$7/1440)*1440,0),1440)/1440)</f>
        <v/>
      </c>
      <c r="AU37" s="8" t="n"/>
      <c r="AV37" s="8" t="n"/>
      <c r="AW37" s="8" t="n"/>
      <c r="AX37" s="8" t="n"/>
      <c r="BA37" s="40">
        <f>Settings!$B$64&amp;IF(Settings!$C$64&lt;&gt;""," ("&amp;Settings!$C$64&amp;")","")</f>
        <v/>
      </c>
      <c r="BB37" s="14" t="n"/>
      <c r="BC37" s="14" t="n"/>
      <c r="BD37" s="14" t="n"/>
      <c r="BE37" s="14" t="n"/>
      <c r="BF37" s="14" t="n"/>
      <c r="BG37" s="14" t="n"/>
      <c r="BH37" s="14" t="n"/>
      <c r="BI37" s="41">
        <f>IFERROR(AVERAGE(BB37:BH37),0)</f>
        <v/>
      </c>
      <c r="BJ37" s="41">
        <f>SUM(BB37:BH37)</f>
        <v/>
      </c>
      <c r="BM37">
        <f>IF(BB37="","",IFERROR(MIN(1,MAX(0,(BB37-Settings!$D$64)/(Settings!$E$64-Settings!$D$64))),0))</f>
        <v/>
      </c>
      <c r="BN37">
        <f>IF(BC37="","",IFERROR(MIN(1,MAX(0,(BC37-Settings!$D$64)/(Settings!$E$64-Settings!$D$64))),0))</f>
        <v/>
      </c>
      <c r="BO37">
        <f>IF(BD37="","",IFERROR(MIN(1,MAX(0,(BD37-Settings!$D$64)/(Settings!$E$64-Settings!$D$64))),0))</f>
        <v/>
      </c>
      <c r="BP37">
        <f>IF(BE37="","",IFERROR(MIN(1,MAX(0,(BE37-Settings!$D$64)/(Settings!$E$64-Settings!$D$64))),0))</f>
        <v/>
      </c>
      <c r="BQ37">
        <f>IF(BF37="","",IFERROR(MIN(1,MAX(0,(BF37-Settings!$D$64)/(Settings!$E$64-Settings!$D$64))),0))</f>
        <v/>
      </c>
      <c r="BR37">
        <f>IF(BG37="","",IFERROR(MIN(1,MAX(0,(BG37-Settings!$D$64)/(Settings!$E$64-Settings!$D$64))),0))</f>
        <v/>
      </c>
      <c r="BS37">
        <f>IF(BH37="","",IFERROR(MIN(1,MAX(0,(BH37-Settings!$D$64)/(Settings!$E$64-Settings!$D$64))),0))</f>
        <v/>
      </c>
      <c r="BT37">
        <f>IFERROR(MIN(1,MAX(0,(BI37-Settings!$D$64)/(Settings!$E$64-Settings!$D$64))),0)</f>
        <v/>
      </c>
    </row>
    <row r="38">
      <c r="J38" s="37">
        <f>IF(29*Settings!$C$7&gt;=1440,"",MOD(ROUND((Settings!$C$6+29*Settings!$C$7/1440)*1440,0),1440)/1440)</f>
        <v/>
      </c>
      <c r="K38" s="8" t="n"/>
      <c r="L38" s="8" t="n"/>
      <c r="M38" s="8" t="n"/>
      <c r="N38" s="8" t="n"/>
      <c r="P38" s="37">
        <f>IF(29*Settings!$C$7&gt;=1440,"",MOD(ROUND((Settings!$C$6+29*Settings!$C$7/1440)*1440,0),1440)/1440)</f>
        <v/>
      </c>
      <c r="Q38" s="8" t="n"/>
      <c r="R38" s="8" t="n"/>
      <c r="S38" s="8" t="n"/>
      <c r="T38" s="8" t="n"/>
      <c r="V38" s="37">
        <f>IF(29*Settings!$C$7&gt;=1440,"",MOD(ROUND((Settings!$C$6+29*Settings!$C$7/1440)*1440,0),1440)/1440)</f>
        <v/>
      </c>
      <c r="W38" s="8" t="n"/>
      <c r="X38" s="8" t="n"/>
      <c r="Y38" s="8" t="n"/>
      <c r="Z38" s="8" t="n"/>
      <c r="AB38" s="37">
        <f>IF(29*Settings!$C$7&gt;=1440,"",MOD(ROUND((Settings!$C$6+29*Settings!$C$7/1440)*1440,0),1440)/1440)</f>
        <v/>
      </c>
      <c r="AC38" s="8" t="n"/>
      <c r="AD38" s="8" t="n"/>
      <c r="AE38" s="8" t="n"/>
      <c r="AF38" s="8" t="n"/>
      <c r="AH38" s="37">
        <f>IF(29*Settings!$C$7&gt;=1440,"",MOD(ROUND((Settings!$C$6+29*Settings!$C$7/1440)*1440,0),1440)/1440)</f>
        <v/>
      </c>
      <c r="AI38" s="8" t="n"/>
      <c r="AJ38" s="8" t="n"/>
      <c r="AK38" s="8" t="n"/>
      <c r="AL38" s="8" t="n"/>
      <c r="AN38" s="37">
        <f>IF(29*Settings!$C$7&gt;=1440,"",MOD(ROUND((Settings!$C$6+29*Settings!$C$7/1440)*1440,0),1440)/1440)</f>
        <v/>
      </c>
      <c r="AO38" s="8" t="n"/>
      <c r="AP38" s="8" t="n"/>
      <c r="AQ38" s="8" t="n"/>
      <c r="AR38" s="8" t="n"/>
      <c r="AT38" s="37">
        <f>IF(29*Settings!$C$7&gt;=1440,"",MOD(ROUND((Settings!$C$6+29*Settings!$C$7/1440)*1440,0),1440)/1440)</f>
        <v/>
      </c>
      <c r="AU38" s="8" t="n"/>
      <c r="AV38" s="8" t="n"/>
      <c r="AW38" s="8" t="n"/>
      <c r="AX38" s="8" t="n"/>
      <c r="BA38" s="42" t="inlineStr">
        <is>
          <t>progress</t>
        </is>
      </c>
      <c r="BB38" s="43">
        <f>IF(BM37="","",REPT("█",ROUND(BM37*5,0))&amp;REPT("░",5-ROUND(BM37*5,0)))</f>
        <v/>
      </c>
      <c r="BC38" s="43">
        <f>IF(BN37="","",REPT("█",ROUND(BN37*5,0))&amp;REPT("░",5-ROUND(BN37*5,0)))</f>
        <v/>
      </c>
      <c r="BD38" s="43">
        <f>IF(BO37="","",REPT("█",ROUND(BO37*5,0))&amp;REPT("░",5-ROUND(BO37*5,0)))</f>
        <v/>
      </c>
      <c r="BE38" s="43">
        <f>IF(BP37="","",REPT("█",ROUND(BP37*5,0))&amp;REPT("░",5-ROUND(BP37*5,0)))</f>
        <v/>
      </c>
      <c r="BF38" s="43">
        <f>IF(BQ37="","",REPT("█",ROUND(BQ37*5,0))&amp;REPT("░",5-ROUND(BQ37*5,0)))</f>
        <v/>
      </c>
      <c r="BG38" s="43">
        <f>IF(BR37="","",REPT("█",ROUND(BR37*5,0))&amp;REPT("░",5-ROUND(BR37*5,0)))</f>
        <v/>
      </c>
      <c r="BH38" s="43">
        <f>IF(BS37="","",REPT("█",ROUND(BS37*5,0))&amp;REPT("░",5-ROUND(BS37*5,0)))</f>
        <v/>
      </c>
      <c r="BI38" s="43">
        <f>IF(BT37="","",REPT("█",ROUND(BT37*5,0))&amp;REPT("░",5-ROUND(BT37*5,0)))</f>
        <v/>
      </c>
    </row>
    <row r="39">
      <c r="J39" s="37">
        <f>IF(30*Settings!$C$7&gt;=1440,"",MOD(ROUND((Settings!$C$6+30*Settings!$C$7/1440)*1440,0),1440)/1440)</f>
        <v/>
      </c>
      <c r="K39" s="8" t="n"/>
      <c r="L39" s="8" t="n"/>
      <c r="M39" s="8" t="n"/>
      <c r="N39" s="8" t="n"/>
      <c r="P39" s="37">
        <f>IF(30*Settings!$C$7&gt;=1440,"",MOD(ROUND((Settings!$C$6+30*Settings!$C$7/1440)*1440,0),1440)/1440)</f>
        <v/>
      </c>
      <c r="Q39" s="8" t="n"/>
      <c r="R39" s="8" t="n"/>
      <c r="S39" s="8" t="n"/>
      <c r="T39" s="8" t="n"/>
      <c r="V39" s="37">
        <f>IF(30*Settings!$C$7&gt;=1440,"",MOD(ROUND((Settings!$C$6+30*Settings!$C$7/1440)*1440,0),1440)/1440)</f>
        <v/>
      </c>
      <c r="W39" s="8" t="n"/>
      <c r="X39" s="8" t="n"/>
      <c r="Y39" s="8" t="n"/>
      <c r="Z39" s="8" t="n"/>
      <c r="AB39" s="37">
        <f>IF(30*Settings!$C$7&gt;=1440,"",MOD(ROUND((Settings!$C$6+30*Settings!$C$7/1440)*1440,0),1440)/1440)</f>
        <v/>
      </c>
      <c r="AC39" s="8" t="n"/>
      <c r="AD39" s="8" t="n"/>
      <c r="AE39" s="8" t="n"/>
      <c r="AF39" s="8" t="n"/>
      <c r="AH39" s="37">
        <f>IF(30*Settings!$C$7&gt;=1440,"",MOD(ROUND((Settings!$C$6+30*Settings!$C$7/1440)*1440,0),1440)/1440)</f>
        <v/>
      </c>
      <c r="AI39" s="8" t="n"/>
      <c r="AJ39" s="8" t="n"/>
      <c r="AK39" s="8" t="n"/>
      <c r="AL39" s="8" t="n"/>
      <c r="AN39" s="37">
        <f>IF(30*Settings!$C$7&gt;=1440,"",MOD(ROUND((Settings!$C$6+30*Settings!$C$7/1440)*1440,0),1440)/1440)</f>
        <v/>
      </c>
      <c r="AO39" s="8" t="n"/>
      <c r="AP39" s="8" t="n"/>
      <c r="AQ39" s="8" t="n"/>
      <c r="AR39" s="8" t="n"/>
      <c r="AT39" s="37">
        <f>IF(30*Settings!$C$7&gt;=1440,"",MOD(ROUND((Settings!$C$6+30*Settings!$C$7/1440)*1440,0),1440)/1440)</f>
        <v/>
      </c>
      <c r="AU39" s="8" t="n"/>
      <c r="AV39" s="8" t="n"/>
      <c r="AW39" s="8" t="n"/>
      <c r="AX39" s="8" t="n"/>
      <c r="BA39" s="40">
        <f>Settings!$B$65&amp;IF(Settings!$C$65&lt;&gt;""," ("&amp;Settings!$C$65&amp;")","")</f>
        <v/>
      </c>
      <c r="BB39" s="14" t="n"/>
      <c r="BC39" s="14" t="n"/>
      <c r="BD39" s="14" t="n"/>
      <c r="BE39" s="14" t="n"/>
      <c r="BF39" s="14" t="n"/>
      <c r="BG39" s="14" t="n"/>
      <c r="BH39" s="14" t="n"/>
      <c r="BI39" s="41">
        <f>IFERROR(AVERAGE(BB39:BH39),0)</f>
        <v/>
      </c>
      <c r="BJ39" s="41">
        <f>SUM(BB39:BH39)</f>
        <v/>
      </c>
      <c r="BM39">
        <f>IF(BB39="","",IFERROR(MIN(1,MAX(0,(BB39-Settings!$D$65)/(Settings!$E$65-Settings!$D$65))),0))</f>
        <v/>
      </c>
      <c r="BN39">
        <f>IF(BC39="","",IFERROR(MIN(1,MAX(0,(BC39-Settings!$D$65)/(Settings!$E$65-Settings!$D$65))),0))</f>
        <v/>
      </c>
      <c r="BO39">
        <f>IF(BD39="","",IFERROR(MIN(1,MAX(0,(BD39-Settings!$D$65)/(Settings!$E$65-Settings!$D$65))),0))</f>
        <v/>
      </c>
      <c r="BP39">
        <f>IF(BE39="","",IFERROR(MIN(1,MAX(0,(BE39-Settings!$D$65)/(Settings!$E$65-Settings!$D$65))),0))</f>
        <v/>
      </c>
      <c r="BQ39">
        <f>IF(BF39="","",IFERROR(MIN(1,MAX(0,(BF39-Settings!$D$65)/(Settings!$E$65-Settings!$D$65))),0))</f>
        <v/>
      </c>
      <c r="BR39">
        <f>IF(BG39="","",IFERROR(MIN(1,MAX(0,(BG39-Settings!$D$65)/(Settings!$E$65-Settings!$D$65))),0))</f>
        <v/>
      </c>
      <c r="BS39">
        <f>IF(BH39="","",IFERROR(MIN(1,MAX(0,(BH39-Settings!$D$65)/(Settings!$E$65-Settings!$D$65))),0))</f>
        <v/>
      </c>
      <c r="BT39">
        <f>IFERROR(MIN(1,MAX(0,(BI39-Settings!$D$65)/(Settings!$E$65-Settings!$D$65))),0)</f>
        <v/>
      </c>
    </row>
    <row r="40">
      <c r="J40" s="37">
        <f>IF(31*Settings!$C$7&gt;=1440,"",MOD(ROUND((Settings!$C$6+31*Settings!$C$7/1440)*1440,0),1440)/1440)</f>
        <v/>
      </c>
      <c r="K40" s="8" t="n"/>
      <c r="L40" s="8" t="n"/>
      <c r="M40" s="8" t="n"/>
      <c r="N40" s="8" t="n"/>
      <c r="P40" s="37">
        <f>IF(31*Settings!$C$7&gt;=1440,"",MOD(ROUND((Settings!$C$6+31*Settings!$C$7/1440)*1440,0),1440)/1440)</f>
        <v/>
      </c>
      <c r="Q40" s="8" t="n"/>
      <c r="R40" s="8" t="n"/>
      <c r="S40" s="8" t="n"/>
      <c r="T40" s="8" t="n"/>
      <c r="V40" s="37">
        <f>IF(31*Settings!$C$7&gt;=1440,"",MOD(ROUND((Settings!$C$6+31*Settings!$C$7/1440)*1440,0),1440)/1440)</f>
        <v/>
      </c>
      <c r="W40" s="8" t="n"/>
      <c r="X40" s="8" t="n"/>
      <c r="Y40" s="8" t="n"/>
      <c r="Z40" s="8" t="n"/>
      <c r="AB40" s="37">
        <f>IF(31*Settings!$C$7&gt;=1440,"",MOD(ROUND((Settings!$C$6+31*Settings!$C$7/1440)*1440,0),1440)/1440)</f>
        <v/>
      </c>
      <c r="AC40" s="8" t="n"/>
      <c r="AD40" s="8" t="n"/>
      <c r="AE40" s="8" t="n"/>
      <c r="AF40" s="8" t="n"/>
      <c r="AH40" s="37">
        <f>IF(31*Settings!$C$7&gt;=1440,"",MOD(ROUND((Settings!$C$6+31*Settings!$C$7/1440)*1440,0),1440)/1440)</f>
        <v/>
      </c>
      <c r="AI40" s="8" t="n"/>
      <c r="AJ40" s="8" t="n"/>
      <c r="AK40" s="8" t="n"/>
      <c r="AL40" s="8" t="n"/>
      <c r="AN40" s="37">
        <f>IF(31*Settings!$C$7&gt;=1440,"",MOD(ROUND((Settings!$C$6+31*Settings!$C$7/1440)*1440,0),1440)/1440)</f>
        <v/>
      </c>
      <c r="AO40" s="8" t="n"/>
      <c r="AP40" s="8" t="n"/>
      <c r="AQ40" s="8" t="n"/>
      <c r="AR40" s="8" t="n"/>
      <c r="AT40" s="37">
        <f>IF(31*Settings!$C$7&gt;=1440,"",MOD(ROUND((Settings!$C$6+31*Settings!$C$7/1440)*1440,0),1440)/1440)</f>
        <v/>
      </c>
      <c r="AU40" s="8" t="n"/>
      <c r="AV40" s="8" t="n"/>
      <c r="AW40" s="8" t="n"/>
      <c r="AX40" s="8" t="n"/>
      <c r="BA40" s="42" t="inlineStr">
        <is>
          <t>progress</t>
        </is>
      </c>
      <c r="BB40" s="43">
        <f>IF(BM39="","",REPT("█",ROUND(BM39*5,0))&amp;REPT("░",5-ROUND(BM39*5,0)))</f>
        <v/>
      </c>
      <c r="BC40" s="43">
        <f>IF(BN39="","",REPT("█",ROUND(BN39*5,0))&amp;REPT("░",5-ROUND(BN39*5,0)))</f>
        <v/>
      </c>
      <c r="BD40" s="43">
        <f>IF(BO39="","",REPT("█",ROUND(BO39*5,0))&amp;REPT("░",5-ROUND(BO39*5,0)))</f>
        <v/>
      </c>
      <c r="BE40" s="43">
        <f>IF(BP39="","",REPT("█",ROUND(BP39*5,0))&amp;REPT("░",5-ROUND(BP39*5,0)))</f>
        <v/>
      </c>
      <c r="BF40" s="43">
        <f>IF(BQ39="","",REPT("█",ROUND(BQ39*5,0))&amp;REPT("░",5-ROUND(BQ39*5,0)))</f>
        <v/>
      </c>
      <c r="BG40" s="43">
        <f>IF(BR39="","",REPT("█",ROUND(BR39*5,0))&amp;REPT("░",5-ROUND(BR39*5,0)))</f>
        <v/>
      </c>
      <c r="BH40" s="43">
        <f>IF(BS39="","",REPT("█",ROUND(BS39*5,0))&amp;REPT("░",5-ROUND(BS39*5,0)))</f>
        <v/>
      </c>
      <c r="BI40" s="43">
        <f>IF(BT39="","",REPT("█",ROUND(BT39*5,0))&amp;REPT("░",5-ROUND(BT39*5,0)))</f>
        <v/>
      </c>
    </row>
    <row r="41">
      <c r="J41" s="37">
        <f>IF(32*Settings!$C$7&gt;=1440,"",MOD(ROUND((Settings!$C$6+32*Settings!$C$7/1440)*1440,0),1440)/1440)</f>
        <v/>
      </c>
      <c r="K41" s="8" t="n"/>
      <c r="L41" s="8" t="n"/>
      <c r="M41" s="8" t="n"/>
      <c r="N41" s="8" t="n"/>
      <c r="P41" s="37">
        <f>IF(32*Settings!$C$7&gt;=1440,"",MOD(ROUND((Settings!$C$6+32*Settings!$C$7/1440)*1440,0),1440)/1440)</f>
        <v/>
      </c>
      <c r="Q41" s="8" t="n"/>
      <c r="R41" s="8" t="n"/>
      <c r="S41" s="8" t="n"/>
      <c r="T41" s="8" t="n"/>
      <c r="V41" s="37">
        <f>IF(32*Settings!$C$7&gt;=1440,"",MOD(ROUND((Settings!$C$6+32*Settings!$C$7/1440)*1440,0),1440)/1440)</f>
        <v/>
      </c>
      <c r="W41" s="8" t="n"/>
      <c r="X41" s="8" t="n"/>
      <c r="Y41" s="8" t="n"/>
      <c r="Z41" s="8" t="n"/>
      <c r="AB41" s="37">
        <f>IF(32*Settings!$C$7&gt;=1440,"",MOD(ROUND((Settings!$C$6+32*Settings!$C$7/1440)*1440,0),1440)/1440)</f>
        <v/>
      </c>
      <c r="AC41" s="8" t="n"/>
      <c r="AD41" s="8" t="n"/>
      <c r="AE41" s="8" t="n"/>
      <c r="AF41" s="8" t="n"/>
      <c r="AH41" s="37">
        <f>IF(32*Settings!$C$7&gt;=1440,"",MOD(ROUND((Settings!$C$6+32*Settings!$C$7/1440)*1440,0),1440)/1440)</f>
        <v/>
      </c>
      <c r="AI41" s="8" t="n"/>
      <c r="AJ41" s="8" t="n"/>
      <c r="AK41" s="8" t="n"/>
      <c r="AL41" s="8" t="n"/>
      <c r="AN41" s="37">
        <f>IF(32*Settings!$C$7&gt;=1440,"",MOD(ROUND((Settings!$C$6+32*Settings!$C$7/1440)*1440,0),1440)/1440)</f>
        <v/>
      </c>
      <c r="AO41" s="8" t="n"/>
      <c r="AP41" s="8" t="n"/>
      <c r="AQ41" s="8" t="n"/>
      <c r="AR41" s="8" t="n"/>
      <c r="AT41" s="37">
        <f>IF(32*Settings!$C$7&gt;=1440,"",MOD(ROUND((Settings!$C$6+32*Settings!$C$7/1440)*1440,0),1440)/1440)</f>
        <v/>
      </c>
      <c r="AU41" s="8" t="n"/>
      <c r="AV41" s="8" t="n"/>
      <c r="AW41" s="8" t="n"/>
      <c r="AX41" s="8" t="n"/>
    </row>
    <row r="42">
      <c r="J42" s="37">
        <f>IF(33*Settings!$C$7&gt;=1440,"",MOD(ROUND((Settings!$C$6+33*Settings!$C$7/1440)*1440,0),1440)/1440)</f>
        <v/>
      </c>
      <c r="K42" s="8" t="n"/>
      <c r="L42" s="8" t="n"/>
      <c r="M42" s="8" t="n"/>
      <c r="N42" s="8" t="n"/>
      <c r="P42" s="37">
        <f>IF(33*Settings!$C$7&gt;=1440,"",MOD(ROUND((Settings!$C$6+33*Settings!$C$7/1440)*1440,0),1440)/1440)</f>
        <v/>
      </c>
      <c r="Q42" s="8" t="n"/>
      <c r="R42" s="8" t="n"/>
      <c r="S42" s="8" t="n"/>
      <c r="T42" s="8" t="n"/>
      <c r="V42" s="37">
        <f>IF(33*Settings!$C$7&gt;=1440,"",MOD(ROUND((Settings!$C$6+33*Settings!$C$7/1440)*1440,0),1440)/1440)</f>
        <v/>
      </c>
      <c r="W42" s="8" t="n"/>
      <c r="X42" s="8" t="n"/>
      <c r="Y42" s="8" t="n"/>
      <c r="Z42" s="8" t="n"/>
      <c r="AB42" s="37">
        <f>IF(33*Settings!$C$7&gt;=1440,"",MOD(ROUND((Settings!$C$6+33*Settings!$C$7/1440)*1440,0),1440)/1440)</f>
        <v/>
      </c>
      <c r="AC42" s="8" t="n"/>
      <c r="AD42" s="8" t="n"/>
      <c r="AE42" s="8" t="n"/>
      <c r="AF42" s="8" t="n"/>
      <c r="AH42" s="37">
        <f>IF(33*Settings!$C$7&gt;=1440,"",MOD(ROUND((Settings!$C$6+33*Settings!$C$7/1440)*1440,0),1440)/1440)</f>
        <v/>
      </c>
      <c r="AI42" s="8" t="n"/>
      <c r="AJ42" s="8" t="n"/>
      <c r="AK42" s="8" t="n"/>
      <c r="AL42" s="8" t="n"/>
      <c r="AN42" s="37">
        <f>IF(33*Settings!$C$7&gt;=1440,"",MOD(ROUND((Settings!$C$6+33*Settings!$C$7/1440)*1440,0),1440)/1440)</f>
        <v/>
      </c>
      <c r="AO42" s="8" t="n"/>
      <c r="AP42" s="8" t="n"/>
      <c r="AQ42" s="8" t="n"/>
      <c r="AR42" s="8" t="n"/>
      <c r="AT42" s="37">
        <f>IF(33*Settings!$C$7&gt;=1440,"",MOD(ROUND((Settings!$C$6+33*Settings!$C$7/1440)*1440,0),1440)/1440)</f>
        <v/>
      </c>
      <c r="AU42" s="8" t="n"/>
      <c r="AV42" s="8" t="n"/>
      <c r="AW42" s="8" t="n"/>
      <c r="AX42" s="8" t="n"/>
    </row>
    <row r="43">
      <c r="J43" s="37">
        <f>IF(34*Settings!$C$7&gt;=1440,"",MOD(ROUND((Settings!$C$6+34*Settings!$C$7/1440)*1440,0),1440)/1440)</f>
        <v/>
      </c>
      <c r="K43" s="8" t="n"/>
      <c r="L43" s="8" t="n"/>
      <c r="M43" s="8" t="n"/>
      <c r="N43" s="8" t="n"/>
      <c r="P43" s="37">
        <f>IF(34*Settings!$C$7&gt;=1440,"",MOD(ROUND((Settings!$C$6+34*Settings!$C$7/1440)*1440,0),1440)/1440)</f>
        <v/>
      </c>
      <c r="Q43" s="8" t="n"/>
      <c r="R43" s="8" t="n"/>
      <c r="S43" s="8" t="n"/>
      <c r="T43" s="8" t="n"/>
      <c r="V43" s="37">
        <f>IF(34*Settings!$C$7&gt;=1440,"",MOD(ROUND((Settings!$C$6+34*Settings!$C$7/1440)*1440,0),1440)/1440)</f>
        <v/>
      </c>
      <c r="W43" s="8" t="n"/>
      <c r="X43" s="8" t="n"/>
      <c r="Y43" s="8" t="n"/>
      <c r="Z43" s="8" t="n"/>
      <c r="AB43" s="37">
        <f>IF(34*Settings!$C$7&gt;=1440,"",MOD(ROUND((Settings!$C$6+34*Settings!$C$7/1440)*1440,0),1440)/1440)</f>
        <v/>
      </c>
      <c r="AC43" s="8" t="n"/>
      <c r="AD43" s="8" t="n"/>
      <c r="AE43" s="8" t="n"/>
      <c r="AF43" s="8" t="n"/>
      <c r="AH43" s="37">
        <f>IF(34*Settings!$C$7&gt;=1440,"",MOD(ROUND((Settings!$C$6+34*Settings!$C$7/1440)*1440,0),1440)/1440)</f>
        <v/>
      </c>
      <c r="AI43" s="8" t="n"/>
      <c r="AJ43" s="8" t="n"/>
      <c r="AK43" s="8" t="n"/>
      <c r="AL43" s="8" t="n"/>
      <c r="AN43" s="37">
        <f>IF(34*Settings!$C$7&gt;=1440,"",MOD(ROUND((Settings!$C$6+34*Settings!$C$7/1440)*1440,0),1440)/1440)</f>
        <v/>
      </c>
      <c r="AO43" s="8" t="n"/>
      <c r="AP43" s="8" t="n"/>
      <c r="AQ43" s="8" t="n"/>
      <c r="AR43" s="8" t="n"/>
      <c r="AT43" s="37">
        <f>IF(34*Settings!$C$7&gt;=1440,"",MOD(ROUND((Settings!$C$6+34*Settings!$C$7/1440)*1440,0),1440)/1440)</f>
        <v/>
      </c>
      <c r="AU43" s="8" t="n"/>
      <c r="AV43" s="8" t="n"/>
      <c r="AW43" s="8" t="n"/>
      <c r="AX43" s="8" t="n"/>
    </row>
    <row r="44">
      <c r="J44" s="37">
        <f>IF(35*Settings!$C$7&gt;=1440,"",MOD(ROUND((Settings!$C$6+35*Settings!$C$7/1440)*1440,0),1440)/1440)</f>
        <v/>
      </c>
      <c r="K44" s="8" t="n"/>
      <c r="L44" s="8" t="n"/>
      <c r="M44" s="8" t="n"/>
      <c r="N44" s="8" t="n"/>
      <c r="P44" s="37">
        <f>IF(35*Settings!$C$7&gt;=1440,"",MOD(ROUND((Settings!$C$6+35*Settings!$C$7/1440)*1440,0),1440)/1440)</f>
        <v/>
      </c>
      <c r="Q44" s="8" t="n"/>
      <c r="R44" s="8" t="n"/>
      <c r="S44" s="8" t="n"/>
      <c r="T44" s="8" t="n"/>
      <c r="V44" s="37">
        <f>IF(35*Settings!$C$7&gt;=1440,"",MOD(ROUND((Settings!$C$6+35*Settings!$C$7/1440)*1440,0),1440)/1440)</f>
        <v/>
      </c>
      <c r="W44" s="8" t="n"/>
      <c r="X44" s="8" t="n"/>
      <c r="Y44" s="8" t="n"/>
      <c r="Z44" s="8" t="n"/>
      <c r="AB44" s="37">
        <f>IF(35*Settings!$C$7&gt;=1440,"",MOD(ROUND((Settings!$C$6+35*Settings!$C$7/1440)*1440,0),1440)/1440)</f>
        <v/>
      </c>
      <c r="AC44" s="8" t="n"/>
      <c r="AD44" s="8" t="n"/>
      <c r="AE44" s="8" t="n"/>
      <c r="AF44" s="8" t="n"/>
      <c r="AH44" s="37">
        <f>IF(35*Settings!$C$7&gt;=1440,"",MOD(ROUND((Settings!$C$6+35*Settings!$C$7/1440)*1440,0),1440)/1440)</f>
        <v/>
      </c>
      <c r="AI44" s="8" t="n"/>
      <c r="AJ44" s="8" t="n"/>
      <c r="AK44" s="8" t="n"/>
      <c r="AL44" s="8" t="n"/>
      <c r="AN44" s="37">
        <f>IF(35*Settings!$C$7&gt;=1440,"",MOD(ROUND((Settings!$C$6+35*Settings!$C$7/1440)*1440,0),1440)/1440)</f>
        <v/>
      </c>
      <c r="AO44" s="8" t="n"/>
      <c r="AP44" s="8" t="n"/>
      <c r="AQ44" s="8" t="n"/>
      <c r="AR44" s="8" t="n"/>
      <c r="AT44" s="37">
        <f>IF(35*Settings!$C$7&gt;=1440,"",MOD(ROUND((Settings!$C$6+35*Settings!$C$7/1440)*1440,0),1440)/1440)</f>
        <v/>
      </c>
      <c r="AU44" s="8" t="n"/>
      <c r="AV44" s="8" t="n"/>
      <c r="AW44" s="8" t="n"/>
      <c r="AX44" s="8" t="n"/>
    </row>
    <row r="46">
      <c r="J46" s="6">
        <f>IF(Settings!$C$95="",Settings!$B$95,Settings!$C$95)</f>
        <v/>
      </c>
      <c r="K46" s="6" t="n"/>
      <c r="L46" s="6" t="n"/>
      <c r="M46" s="6" t="n"/>
      <c r="N46" s="6" t="n"/>
      <c r="P46" s="6">
        <f>IF(Settings!$C$95="",Settings!$B$95,Settings!$C$95)</f>
        <v/>
      </c>
      <c r="Q46" s="6" t="n"/>
      <c r="R46" s="6" t="n"/>
      <c r="S46" s="6" t="n"/>
      <c r="T46" s="6" t="n"/>
      <c r="V46" s="6">
        <f>IF(Settings!$C$95="",Settings!$B$95,Settings!$C$95)</f>
        <v/>
      </c>
      <c r="W46" s="6" t="n"/>
      <c r="X46" s="6" t="n"/>
      <c r="Y46" s="6" t="n"/>
      <c r="Z46" s="6" t="n"/>
      <c r="AB46" s="6">
        <f>IF(Settings!$C$95="",Settings!$B$95,Settings!$C$95)</f>
        <v/>
      </c>
      <c r="AC46" s="6" t="n"/>
      <c r="AD46" s="6" t="n"/>
      <c r="AE46" s="6" t="n"/>
      <c r="AF46" s="6" t="n"/>
      <c r="AH46" s="6">
        <f>IF(Settings!$C$95="",Settings!$B$95,Settings!$C$95)</f>
        <v/>
      </c>
      <c r="AI46" s="6" t="n"/>
      <c r="AJ46" s="6" t="n"/>
      <c r="AK46" s="6" t="n"/>
      <c r="AL46" s="6" t="n"/>
      <c r="AN46" s="6">
        <f>IF(Settings!$C$95="",Settings!$B$95,Settings!$C$95)</f>
        <v/>
      </c>
      <c r="AO46" s="6" t="n"/>
      <c r="AP46" s="6" t="n"/>
      <c r="AQ46" s="6" t="n"/>
      <c r="AR46" s="6" t="n"/>
      <c r="AT46" s="6">
        <f>IF(Settings!$C$95="",Settings!$B$95,Settings!$C$95)</f>
        <v/>
      </c>
      <c r="AU46" s="6" t="n"/>
      <c r="AV46" s="6" t="n"/>
      <c r="AW46" s="6" t="n"/>
      <c r="AX46" s="6" t="n"/>
    </row>
    <row r="47">
      <c r="J47" s="14" t="b">
        <v>0</v>
      </c>
      <c r="K47" s="8" t="n"/>
      <c r="L47" s="8" t="n"/>
      <c r="M47" s="8" t="n"/>
      <c r="N47" s="8" t="n"/>
      <c r="P47" s="14" t="b">
        <v>0</v>
      </c>
      <c r="Q47" s="8" t="n"/>
      <c r="R47" s="8" t="n"/>
      <c r="S47" s="8" t="n"/>
      <c r="T47" s="8" t="n"/>
      <c r="V47" s="14" t="b">
        <v>0</v>
      </c>
      <c r="W47" s="8" t="n"/>
      <c r="X47" s="8" t="n"/>
      <c r="Y47" s="8" t="n"/>
      <c r="Z47" s="8" t="n"/>
      <c r="AB47" s="14" t="b">
        <v>0</v>
      </c>
      <c r="AC47" s="8" t="n"/>
      <c r="AD47" s="8" t="n"/>
      <c r="AE47" s="8" t="n"/>
      <c r="AF47" s="8" t="n"/>
      <c r="AH47" s="14" t="b">
        <v>0</v>
      </c>
      <c r="AI47" s="8" t="n"/>
      <c r="AJ47" s="8" t="n"/>
      <c r="AK47" s="8" t="n"/>
      <c r="AL47" s="8" t="n"/>
      <c r="AN47" s="14" t="b">
        <v>0</v>
      </c>
      <c r="AO47" s="8" t="n"/>
      <c r="AP47" s="8" t="n"/>
      <c r="AQ47" s="8" t="n"/>
      <c r="AR47" s="8" t="n"/>
      <c r="AT47" s="14" t="b">
        <v>0</v>
      </c>
      <c r="AU47" s="8" t="n"/>
      <c r="AV47" s="8" t="n"/>
      <c r="AW47" s="8" t="n"/>
      <c r="AX47" s="8" t="n"/>
    </row>
    <row r="48">
      <c r="J48" s="14" t="b">
        <v>0</v>
      </c>
      <c r="K48" s="8" t="n"/>
      <c r="L48" s="8" t="n"/>
      <c r="M48" s="8" t="n"/>
      <c r="N48" s="8" t="n"/>
      <c r="P48" s="14" t="b">
        <v>0</v>
      </c>
      <c r="Q48" s="8" t="n"/>
      <c r="R48" s="8" t="n"/>
      <c r="S48" s="8" t="n"/>
      <c r="T48" s="8" t="n"/>
      <c r="V48" s="14" t="b">
        <v>0</v>
      </c>
      <c r="W48" s="8" t="n"/>
      <c r="X48" s="8" t="n"/>
      <c r="Y48" s="8" t="n"/>
      <c r="Z48" s="8" t="n"/>
      <c r="AB48" s="14" t="b">
        <v>0</v>
      </c>
      <c r="AC48" s="8" t="n"/>
      <c r="AD48" s="8" t="n"/>
      <c r="AE48" s="8" t="n"/>
      <c r="AF48" s="8" t="n"/>
      <c r="AH48" s="14" t="b">
        <v>0</v>
      </c>
      <c r="AI48" s="8" t="n"/>
      <c r="AJ48" s="8" t="n"/>
      <c r="AK48" s="8" t="n"/>
      <c r="AL48" s="8" t="n"/>
      <c r="AN48" s="14" t="b">
        <v>0</v>
      </c>
      <c r="AO48" s="8" t="n"/>
      <c r="AP48" s="8" t="n"/>
      <c r="AQ48" s="8" t="n"/>
      <c r="AR48" s="8" t="n"/>
      <c r="AT48" s="14" t="b">
        <v>0</v>
      </c>
      <c r="AU48" s="8" t="n"/>
      <c r="AV48" s="8" t="n"/>
      <c r="AW48" s="8" t="n"/>
      <c r="AX48" s="8" t="n"/>
    </row>
    <row r="49">
      <c r="J49" s="14" t="b">
        <v>0</v>
      </c>
      <c r="K49" s="8" t="n"/>
      <c r="L49" s="8" t="n"/>
      <c r="M49" s="8" t="n"/>
      <c r="N49" s="8" t="n"/>
      <c r="P49" s="14" t="b">
        <v>0</v>
      </c>
      <c r="Q49" s="8" t="n"/>
      <c r="R49" s="8" t="n"/>
      <c r="S49" s="8" t="n"/>
      <c r="T49" s="8" t="n"/>
      <c r="V49" s="14" t="b">
        <v>0</v>
      </c>
      <c r="W49" s="8" t="n"/>
      <c r="X49" s="8" t="n"/>
      <c r="Y49" s="8" t="n"/>
      <c r="Z49" s="8" t="n"/>
      <c r="AB49" s="14" t="b">
        <v>0</v>
      </c>
      <c r="AC49" s="8" t="n"/>
      <c r="AD49" s="8" t="n"/>
      <c r="AE49" s="8" t="n"/>
      <c r="AF49" s="8" t="n"/>
      <c r="AH49" s="14" t="b">
        <v>0</v>
      </c>
      <c r="AI49" s="8" t="n"/>
      <c r="AJ49" s="8" t="n"/>
      <c r="AK49" s="8" t="n"/>
      <c r="AL49" s="8" t="n"/>
      <c r="AN49" s="14" t="b">
        <v>0</v>
      </c>
      <c r="AO49" s="8" t="n"/>
      <c r="AP49" s="8" t="n"/>
      <c r="AQ49" s="8" t="n"/>
      <c r="AR49" s="8" t="n"/>
      <c r="AT49" s="14" t="b">
        <v>0</v>
      </c>
      <c r="AU49" s="8" t="n"/>
      <c r="AV49" s="8" t="n"/>
      <c r="AW49" s="8" t="n"/>
      <c r="AX49" s="8" t="n"/>
    </row>
    <row r="50">
      <c r="J50" s="14" t="b">
        <v>0</v>
      </c>
      <c r="K50" s="8" t="n"/>
      <c r="L50" s="8" t="n"/>
      <c r="M50" s="8" t="n"/>
      <c r="N50" s="8" t="n"/>
      <c r="P50" s="14" t="b">
        <v>0</v>
      </c>
      <c r="Q50" s="8" t="n"/>
      <c r="R50" s="8" t="n"/>
      <c r="S50" s="8" t="n"/>
      <c r="T50" s="8" t="n"/>
      <c r="V50" s="14" t="b">
        <v>0</v>
      </c>
      <c r="W50" s="8" t="n"/>
      <c r="X50" s="8" t="n"/>
      <c r="Y50" s="8" t="n"/>
      <c r="Z50" s="8" t="n"/>
      <c r="AB50" s="14" t="b">
        <v>0</v>
      </c>
      <c r="AC50" s="8" t="n"/>
      <c r="AD50" s="8" t="n"/>
      <c r="AE50" s="8" t="n"/>
      <c r="AF50" s="8" t="n"/>
      <c r="AH50" s="14" t="b">
        <v>0</v>
      </c>
      <c r="AI50" s="8" t="n"/>
      <c r="AJ50" s="8" t="n"/>
      <c r="AK50" s="8" t="n"/>
      <c r="AL50" s="8" t="n"/>
      <c r="AN50" s="14" t="b">
        <v>0</v>
      </c>
      <c r="AO50" s="8" t="n"/>
      <c r="AP50" s="8" t="n"/>
      <c r="AQ50" s="8" t="n"/>
      <c r="AR50" s="8" t="n"/>
      <c r="AT50" s="14" t="b">
        <v>0</v>
      </c>
      <c r="AU50" s="8" t="n"/>
      <c r="AV50" s="8" t="n"/>
      <c r="AW50" s="8" t="n"/>
      <c r="AX50" s="8" t="n"/>
    </row>
    <row r="51">
      <c r="J51" s="14" t="b">
        <v>0</v>
      </c>
      <c r="K51" s="8" t="n"/>
      <c r="L51" s="8" t="n"/>
      <c r="M51" s="8" t="n"/>
      <c r="N51" s="8" t="n"/>
      <c r="P51" s="14" t="b">
        <v>0</v>
      </c>
      <c r="Q51" s="8" t="n"/>
      <c r="R51" s="8" t="n"/>
      <c r="S51" s="8" t="n"/>
      <c r="T51" s="8" t="n"/>
      <c r="V51" s="14" t="b">
        <v>0</v>
      </c>
      <c r="W51" s="8" t="n"/>
      <c r="X51" s="8" t="n"/>
      <c r="Y51" s="8" t="n"/>
      <c r="Z51" s="8" t="n"/>
      <c r="AB51" s="14" t="b">
        <v>0</v>
      </c>
      <c r="AC51" s="8" t="n"/>
      <c r="AD51" s="8" t="n"/>
      <c r="AE51" s="8" t="n"/>
      <c r="AF51" s="8" t="n"/>
      <c r="AH51" s="14" t="b">
        <v>0</v>
      </c>
      <c r="AI51" s="8" t="n"/>
      <c r="AJ51" s="8" t="n"/>
      <c r="AK51" s="8" t="n"/>
      <c r="AL51" s="8" t="n"/>
      <c r="AN51" s="14" t="b">
        <v>0</v>
      </c>
      <c r="AO51" s="8" t="n"/>
      <c r="AP51" s="8" t="n"/>
      <c r="AQ51" s="8" t="n"/>
      <c r="AR51" s="8" t="n"/>
      <c r="AT51" s="14" t="b">
        <v>0</v>
      </c>
      <c r="AU51" s="8" t="n"/>
      <c r="AV51" s="8" t="n"/>
      <c r="AW51" s="8" t="n"/>
      <c r="AX51" s="8" t="n"/>
    </row>
    <row r="52">
      <c r="J52" s="14" t="b">
        <v>0</v>
      </c>
      <c r="K52" s="8" t="n"/>
      <c r="L52" s="8" t="n"/>
      <c r="M52" s="8" t="n"/>
      <c r="N52" s="8" t="n"/>
      <c r="P52" s="14" t="b">
        <v>0</v>
      </c>
      <c r="Q52" s="8" t="n"/>
      <c r="R52" s="8" t="n"/>
      <c r="S52" s="8" t="n"/>
      <c r="T52" s="8" t="n"/>
      <c r="V52" s="14" t="b">
        <v>0</v>
      </c>
      <c r="W52" s="8" t="n"/>
      <c r="X52" s="8" t="n"/>
      <c r="Y52" s="8" t="n"/>
      <c r="Z52" s="8" t="n"/>
      <c r="AB52" s="14" t="b">
        <v>0</v>
      </c>
      <c r="AC52" s="8" t="n"/>
      <c r="AD52" s="8" t="n"/>
      <c r="AE52" s="8" t="n"/>
      <c r="AF52" s="8" t="n"/>
      <c r="AH52" s="14" t="b">
        <v>0</v>
      </c>
      <c r="AI52" s="8" t="n"/>
      <c r="AJ52" s="8" t="n"/>
      <c r="AK52" s="8" t="n"/>
      <c r="AL52" s="8" t="n"/>
      <c r="AN52" s="14" t="b">
        <v>0</v>
      </c>
      <c r="AO52" s="8" t="n"/>
      <c r="AP52" s="8" t="n"/>
      <c r="AQ52" s="8" t="n"/>
      <c r="AR52" s="8" t="n"/>
      <c r="AT52" s="14" t="b">
        <v>0</v>
      </c>
      <c r="AU52" s="8" t="n"/>
      <c r="AV52" s="8" t="n"/>
      <c r="AW52" s="8" t="n"/>
      <c r="AX52" s="8" t="n"/>
    </row>
    <row r="53">
      <c r="J53" s="14" t="b">
        <v>0</v>
      </c>
      <c r="K53" s="8" t="n"/>
      <c r="L53" s="8" t="n"/>
      <c r="M53" s="8" t="n"/>
      <c r="N53" s="8" t="n"/>
      <c r="P53" s="14" t="b">
        <v>0</v>
      </c>
      <c r="Q53" s="8" t="n"/>
      <c r="R53" s="8" t="n"/>
      <c r="S53" s="8" t="n"/>
      <c r="T53" s="8" t="n"/>
      <c r="V53" s="14" t="b">
        <v>0</v>
      </c>
      <c r="W53" s="8" t="n"/>
      <c r="X53" s="8" t="n"/>
      <c r="Y53" s="8" t="n"/>
      <c r="Z53" s="8" t="n"/>
      <c r="AB53" s="14" t="b">
        <v>0</v>
      </c>
      <c r="AC53" s="8" t="n"/>
      <c r="AD53" s="8" t="n"/>
      <c r="AE53" s="8" t="n"/>
      <c r="AF53" s="8" t="n"/>
      <c r="AH53" s="14" t="b">
        <v>0</v>
      </c>
      <c r="AI53" s="8" t="n"/>
      <c r="AJ53" s="8" t="n"/>
      <c r="AK53" s="8" t="n"/>
      <c r="AL53" s="8" t="n"/>
      <c r="AN53" s="14" t="b">
        <v>0</v>
      </c>
      <c r="AO53" s="8" t="n"/>
      <c r="AP53" s="8" t="n"/>
      <c r="AQ53" s="8" t="n"/>
      <c r="AR53" s="8" t="n"/>
      <c r="AT53" s="14" t="b">
        <v>0</v>
      </c>
      <c r="AU53" s="8" t="n"/>
      <c r="AV53" s="8" t="n"/>
      <c r="AW53" s="8" t="n"/>
      <c r="AX53" s="8" t="n"/>
    </row>
    <row r="54">
      <c r="J54" s="14" t="b">
        <v>0</v>
      </c>
      <c r="K54" s="8" t="n"/>
      <c r="L54" s="8" t="n"/>
      <c r="M54" s="8" t="n"/>
      <c r="N54" s="8" t="n"/>
      <c r="P54" s="14" t="b">
        <v>0</v>
      </c>
      <c r="Q54" s="8" t="n"/>
      <c r="R54" s="8" t="n"/>
      <c r="S54" s="8" t="n"/>
      <c r="T54" s="8" t="n"/>
      <c r="V54" s="14" t="b">
        <v>0</v>
      </c>
      <c r="W54" s="8" t="n"/>
      <c r="X54" s="8" t="n"/>
      <c r="Y54" s="8" t="n"/>
      <c r="Z54" s="8" t="n"/>
      <c r="AB54" s="14" t="b">
        <v>0</v>
      </c>
      <c r="AC54" s="8" t="n"/>
      <c r="AD54" s="8" t="n"/>
      <c r="AE54" s="8" t="n"/>
      <c r="AF54" s="8" t="n"/>
      <c r="AH54" s="14" t="b">
        <v>0</v>
      </c>
      <c r="AI54" s="8" t="n"/>
      <c r="AJ54" s="8" t="n"/>
      <c r="AK54" s="8" t="n"/>
      <c r="AL54" s="8" t="n"/>
      <c r="AN54" s="14" t="b">
        <v>0</v>
      </c>
      <c r="AO54" s="8" t="n"/>
      <c r="AP54" s="8" t="n"/>
      <c r="AQ54" s="8" t="n"/>
      <c r="AR54" s="8" t="n"/>
      <c r="AT54" s="14" t="b">
        <v>0</v>
      </c>
      <c r="AU54" s="8" t="n"/>
      <c r="AV54" s="8" t="n"/>
      <c r="AW54" s="8" t="n"/>
      <c r="AX54" s="8" t="n"/>
    </row>
    <row r="55">
      <c r="J55" s="14" t="b">
        <v>0</v>
      </c>
      <c r="K55" s="8" t="n"/>
      <c r="L55" s="8" t="n"/>
      <c r="M55" s="8" t="n"/>
      <c r="N55" s="8" t="n"/>
      <c r="P55" s="14" t="b">
        <v>0</v>
      </c>
      <c r="Q55" s="8" t="n"/>
      <c r="R55" s="8" t="n"/>
      <c r="S55" s="8" t="n"/>
      <c r="T55" s="8" t="n"/>
      <c r="V55" s="14" t="b">
        <v>0</v>
      </c>
      <c r="W55" s="8" t="n"/>
      <c r="X55" s="8" t="n"/>
      <c r="Y55" s="8" t="n"/>
      <c r="Z55" s="8" t="n"/>
      <c r="AB55" s="14" t="b">
        <v>0</v>
      </c>
      <c r="AC55" s="8" t="n"/>
      <c r="AD55" s="8" t="n"/>
      <c r="AE55" s="8" t="n"/>
      <c r="AF55" s="8" t="n"/>
      <c r="AH55" s="14" t="b">
        <v>0</v>
      </c>
      <c r="AI55" s="8" t="n"/>
      <c r="AJ55" s="8" t="n"/>
      <c r="AK55" s="8" t="n"/>
      <c r="AL55" s="8" t="n"/>
      <c r="AN55" s="14" t="b">
        <v>0</v>
      </c>
      <c r="AO55" s="8" t="n"/>
      <c r="AP55" s="8" t="n"/>
      <c r="AQ55" s="8" t="n"/>
      <c r="AR55" s="8" t="n"/>
      <c r="AT55" s="14" t="b">
        <v>0</v>
      </c>
      <c r="AU55" s="8" t="n"/>
      <c r="AV55" s="8" t="n"/>
      <c r="AW55" s="8" t="n"/>
      <c r="AX55" s="8" t="n"/>
    </row>
    <row r="56">
      <c r="J56" s="14" t="b">
        <v>0</v>
      </c>
      <c r="K56" s="8" t="n"/>
      <c r="L56" s="8" t="n"/>
      <c r="M56" s="8" t="n"/>
      <c r="N56" s="8" t="n"/>
      <c r="P56" s="14" t="b">
        <v>0</v>
      </c>
      <c r="Q56" s="8" t="n"/>
      <c r="R56" s="8" t="n"/>
      <c r="S56" s="8" t="n"/>
      <c r="T56" s="8" t="n"/>
      <c r="V56" s="14" t="b">
        <v>0</v>
      </c>
      <c r="W56" s="8" t="n"/>
      <c r="X56" s="8" t="n"/>
      <c r="Y56" s="8" t="n"/>
      <c r="Z56" s="8" t="n"/>
      <c r="AB56" s="14" t="b">
        <v>0</v>
      </c>
      <c r="AC56" s="8" t="n"/>
      <c r="AD56" s="8" t="n"/>
      <c r="AE56" s="8" t="n"/>
      <c r="AF56" s="8" t="n"/>
      <c r="AH56" s="14" t="b">
        <v>0</v>
      </c>
      <c r="AI56" s="8" t="n"/>
      <c r="AJ56" s="8" t="n"/>
      <c r="AK56" s="8" t="n"/>
      <c r="AL56" s="8" t="n"/>
      <c r="AN56" s="14" t="b">
        <v>0</v>
      </c>
      <c r="AO56" s="8" t="n"/>
      <c r="AP56" s="8" t="n"/>
      <c r="AQ56" s="8" t="n"/>
      <c r="AR56" s="8" t="n"/>
      <c r="AT56" s="14" t="b">
        <v>0</v>
      </c>
      <c r="AU56" s="8" t="n"/>
      <c r="AV56" s="8" t="n"/>
      <c r="AW56" s="8" t="n"/>
      <c r="AX56" s="8" t="n"/>
    </row>
    <row r="58">
      <c r="J58" s="6">
        <f>IF(Settings!$C$99="",Settings!$B$99,Settings!$C$99)</f>
        <v/>
      </c>
      <c r="K58" s="6" t="n"/>
      <c r="L58" s="6" t="n"/>
      <c r="M58" s="6" t="n"/>
      <c r="N58" s="6" t="n"/>
      <c r="P58" s="6">
        <f>IF(Settings!$C$99="",Settings!$B$99,Settings!$C$99)</f>
        <v/>
      </c>
      <c r="Q58" s="6" t="n"/>
      <c r="R58" s="6" t="n"/>
      <c r="S58" s="6" t="n"/>
      <c r="T58" s="6" t="n"/>
      <c r="V58" s="6">
        <f>IF(Settings!$C$99="",Settings!$B$99,Settings!$C$99)</f>
        <v/>
      </c>
      <c r="W58" s="6" t="n"/>
      <c r="X58" s="6" t="n"/>
      <c r="Y58" s="6" t="n"/>
      <c r="Z58" s="6" t="n"/>
      <c r="AB58" s="6">
        <f>IF(Settings!$C$99="",Settings!$B$99,Settings!$C$99)</f>
        <v/>
      </c>
      <c r="AC58" s="6" t="n"/>
      <c r="AD58" s="6" t="n"/>
      <c r="AE58" s="6" t="n"/>
      <c r="AF58" s="6" t="n"/>
      <c r="AH58" s="6">
        <f>IF(Settings!$C$99="",Settings!$B$99,Settings!$C$99)</f>
        <v/>
      </c>
      <c r="AI58" s="6" t="n"/>
      <c r="AJ58" s="6" t="n"/>
      <c r="AK58" s="6" t="n"/>
      <c r="AL58" s="6" t="n"/>
      <c r="AN58" s="6">
        <f>IF(Settings!$C$99="",Settings!$B$99,Settings!$C$99)</f>
        <v/>
      </c>
      <c r="AO58" s="6" t="n"/>
      <c r="AP58" s="6" t="n"/>
      <c r="AQ58" s="6" t="n"/>
      <c r="AR58" s="6" t="n"/>
      <c r="AT58" s="6">
        <f>IF(Settings!$C$99="",Settings!$B$99,Settings!$C$99)</f>
        <v/>
      </c>
      <c r="AU58" s="6" t="n"/>
      <c r="AV58" s="6" t="n"/>
      <c r="AW58" s="6" t="n"/>
      <c r="AX58" s="6" t="n"/>
    </row>
    <row r="59">
      <c r="J59" s="8" t="n"/>
      <c r="K59" s="8" t="n"/>
      <c r="L59" s="8" t="n"/>
      <c r="M59" s="8" t="n"/>
      <c r="N59" s="8" t="n"/>
      <c r="P59" s="8" t="n"/>
      <c r="Q59" s="8" t="n"/>
      <c r="R59" s="8" t="n"/>
      <c r="S59" s="8" t="n"/>
      <c r="T59" s="8" t="n"/>
      <c r="V59" s="8" t="n"/>
      <c r="W59" s="8" t="n"/>
      <c r="X59" s="8" t="n"/>
      <c r="Y59" s="8" t="n"/>
      <c r="Z59" s="8" t="n"/>
      <c r="AB59" s="8" t="n"/>
      <c r="AC59" s="8" t="n"/>
      <c r="AD59" s="8" t="n"/>
      <c r="AE59" s="8" t="n"/>
      <c r="AF59" s="8" t="n"/>
      <c r="AH59" s="8" t="n"/>
      <c r="AI59" s="8" t="n"/>
      <c r="AJ59" s="8" t="n"/>
      <c r="AK59" s="8" t="n"/>
      <c r="AL59" s="8" t="n"/>
      <c r="AN59" s="8" t="n"/>
      <c r="AO59" s="8" t="n"/>
      <c r="AP59" s="8" t="n"/>
      <c r="AQ59" s="8" t="n"/>
      <c r="AR59" s="8" t="n"/>
      <c r="AT59" s="8" t="n"/>
      <c r="AU59" s="8" t="n"/>
      <c r="AV59" s="8" t="n"/>
      <c r="AW59" s="8" t="n"/>
      <c r="AX59" s="8" t="n"/>
    </row>
    <row r="60">
      <c r="J60" s="8" t="n"/>
      <c r="K60" s="8" t="n"/>
      <c r="L60" s="8" t="n"/>
      <c r="M60" s="8" t="n"/>
      <c r="N60" s="8" t="n"/>
      <c r="P60" s="8" t="n"/>
      <c r="Q60" s="8" t="n"/>
      <c r="R60" s="8" t="n"/>
      <c r="S60" s="8" t="n"/>
      <c r="T60" s="8" t="n"/>
      <c r="V60" s="8" t="n"/>
      <c r="W60" s="8" t="n"/>
      <c r="X60" s="8" t="n"/>
      <c r="Y60" s="8" t="n"/>
      <c r="Z60" s="8" t="n"/>
      <c r="AB60" s="8" t="n"/>
      <c r="AC60" s="8" t="n"/>
      <c r="AD60" s="8" t="n"/>
      <c r="AE60" s="8" t="n"/>
      <c r="AF60" s="8" t="n"/>
      <c r="AH60" s="8" t="n"/>
      <c r="AI60" s="8" t="n"/>
      <c r="AJ60" s="8" t="n"/>
      <c r="AK60" s="8" t="n"/>
      <c r="AL60" s="8" t="n"/>
      <c r="AN60" s="8" t="n"/>
      <c r="AO60" s="8" t="n"/>
      <c r="AP60" s="8" t="n"/>
      <c r="AQ60" s="8" t="n"/>
      <c r="AR60" s="8" t="n"/>
      <c r="AT60" s="8" t="n"/>
      <c r="AU60" s="8" t="n"/>
      <c r="AV60" s="8" t="n"/>
      <c r="AW60" s="8" t="n"/>
      <c r="AX60" s="8" t="n"/>
    </row>
    <row r="61">
      <c r="J61" s="8" t="n"/>
      <c r="K61" s="8" t="n"/>
      <c r="L61" s="8" t="n"/>
      <c r="M61" s="8" t="n"/>
      <c r="N61" s="8" t="n"/>
      <c r="P61" s="8" t="n"/>
      <c r="Q61" s="8" t="n"/>
      <c r="R61" s="8" t="n"/>
      <c r="S61" s="8" t="n"/>
      <c r="T61" s="8" t="n"/>
      <c r="V61" s="8" t="n"/>
      <c r="W61" s="8" t="n"/>
      <c r="X61" s="8" t="n"/>
      <c r="Y61" s="8" t="n"/>
      <c r="Z61" s="8" t="n"/>
      <c r="AB61" s="8" t="n"/>
      <c r="AC61" s="8" t="n"/>
      <c r="AD61" s="8" t="n"/>
      <c r="AE61" s="8" t="n"/>
      <c r="AF61" s="8" t="n"/>
      <c r="AH61" s="8" t="n"/>
      <c r="AI61" s="8" t="n"/>
      <c r="AJ61" s="8" t="n"/>
      <c r="AK61" s="8" t="n"/>
      <c r="AL61" s="8" t="n"/>
      <c r="AN61" s="8" t="n"/>
      <c r="AO61" s="8" t="n"/>
      <c r="AP61" s="8" t="n"/>
      <c r="AQ61" s="8" t="n"/>
      <c r="AR61" s="8" t="n"/>
      <c r="AT61" s="8" t="n"/>
      <c r="AU61" s="8" t="n"/>
      <c r="AV61" s="8" t="n"/>
      <c r="AW61" s="8" t="n"/>
      <c r="AX61" s="8" t="n"/>
    </row>
    <row r="62">
      <c r="J62" s="8" t="n"/>
      <c r="K62" s="8" t="n"/>
      <c r="L62" s="8" t="n"/>
      <c r="M62" s="8" t="n"/>
      <c r="N62" s="8" t="n"/>
      <c r="P62" s="8" t="n"/>
      <c r="Q62" s="8" t="n"/>
      <c r="R62" s="8" t="n"/>
      <c r="S62" s="8" t="n"/>
      <c r="T62" s="8" t="n"/>
      <c r="V62" s="8" t="n"/>
      <c r="W62" s="8" t="n"/>
      <c r="X62" s="8" t="n"/>
      <c r="Y62" s="8" t="n"/>
      <c r="Z62" s="8" t="n"/>
      <c r="AB62" s="8" t="n"/>
      <c r="AC62" s="8" t="n"/>
      <c r="AD62" s="8" t="n"/>
      <c r="AE62" s="8" t="n"/>
      <c r="AF62" s="8" t="n"/>
      <c r="AH62" s="8" t="n"/>
      <c r="AI62" s="8" t="n"/>
      <c r="AJ62" s="8" t="n"/>
      <c r="AK62" s="8" t="n"/>
      <c r="AL62" s="8" t="n"/>
      <c r="AN62" s="8" t="n"/>
      <c r="AO62" s="8" t="n"/>
      <c r="AP62" s="8" t="n"/>
      <c r="AQ62" s="8" t="n"/>
      <c r="AR62" s="8" t="n"/>
      <c r="AT62" s="8" t="n"/>
      <c r="AU62" s="8" t="n"/>
      <c r="AV62" s="8" t="n"/>
      <c r="AW62" s="8" t="n"/>
      <c r="AX62" s="8" t="n"/>
    </row>
    <row r="63">
      <c r="J63" s="8" t="n"/>
      <c r="K63" s="8" t="n"/>
      <c r="L63" s="8" t="n"/>
      <c r="M63" s="8" t="n"/>
      <c r="N63" s="8" t="n"/>
      <c r="P63" s="8" t="n"/>
      <c r="Q63" s="8" t="n"/>
      <c r="R63" s="8" t="n"/>
      <c r="S63" s="8" t="n"/>
      <c r="T63" s="8" t="n"/>
      <c r="V63" s="8" t="n"/>
      <c r="W63" s="8" t="n"/>
      <c r="X63" s="8" t="n"/>
      <c r="Y63" s="8" t="n"/>
      <c r="Z63" s="8" t="n"/>
      <c r="AB63" s="8" t="n"/>
      <c r="AC63" s="8" t="n"/>
      <c r="AD63" s="8" t="n"/>
      <c r="AE63" s="8" t="n"/>
      <c r="AF63" s="8" t="n"/>
      <c r="AH63" s="8" t="n"/>
      <c r="AI63" s="8" t="n"/>
      <c r="AJ63" s="8" t="n"/>
      <c r="AK63" s="8" t="n"/>
      <c r="AL63" s="8" t="n"/>
      <c r="AN63" s="8" t="n"/>
      <c r="AO63" s="8" t="n"/>
      <c r="AP63" s="8" t="n"/>
      <c r="AQ63" s="8" t="n"/>
      <c r="AR63" s="8" t="n"/>
      <c r="AT63" s="8" t="n"/>
      <c r="AU63" s="8" t="n"/>
      <c r="AV63" s="8" t="n"/>
      <c r="AW63" s="8" t="n"/>
      <c r="AX63" s="8" t="n"/>
    </row>
    <row r="65">
      <c r="J65" s="6">
        <f>IF(Settings!$C$97="",Settings!$B$97,Settings!$C$97)</f>
        <v/>
      </c>
      <c r="K65" s="6" t="n"/>
      <c r="L65" s="6" t="n"/>
      <c r="M65" s="6" t="n"/>
      <c r="N65" s="6" t="n"/>
      <c r="P65" s="6">
        <f>IF(Settings!$C$97="",Settings!$B$97,Settings!$C$97)</f>
        <v/>
      </c>
      <c r="Q65" s="6" t="n"/>
      <c r="R65" s="6" t="n"/>
      <c r="S65" s="6" t="n"/>
      <c r="T65" s="6" t="n"/>
      <c r="V65" s="6">
        <f>IF(Settings!$C$97="",Settings!$B$97,Settings!$C$97)</f>
        <v/>
      </c>
      <c r="W65" s="6" t="n"/>
      <c r="X65" s="6" t="n"/>
      <c r="Y65" s="6" t="n"/>
      <c r="Z65" s="6" t="n"/>
      <c r="AB65" s="6">
        <f>IF(Settings!$C$97="",Settings!$B$97,Settings!$C$97)</f>
        <v/>
      </c>
      <c r="AC65" s="6" t="n"/>
      <c r="AD65" s="6" t="n"/>
      <c r="AE65" s="6" t="n"/>
      <c r="AF65" s="6" t="n"/>
      <c r="AH65" s="6">
        <f>IF(Settings!$C$97="",Settings!$B$97,Settings!$C$97)</f>
        <v/>
      </c>
      <c r="AI65" s="6" t="n"/>
      <c r="AJ65" s="6" t="n"/>
      <c r="AK65" s="6" t="n"/>
      <c r="AL65" s="6" t="n"/>
      <c r="AN65" s="6">
        <f>IF(Settings!$C$97="",Settings!$B$97,Settings!$C$97)</f>
        <v/>
      </c>
      <c r="AO65" s="6" t="n"/>
      <c r="AP65" s="6" t="n"/>
      <c r="AQ65" s="6" t="n"/>
      <c r="AR65" s="6" t="n"/>
      <c r="AT65" s="6">
        <f>IF(Settings!$C$97="",Settings!$B$97,Settings!$C$97)</f>
        <v/>
      </c>
      <c r="AU65" s="6" t="n"/>
      <c r="AV65" s="6" t="n"/>
      <c r="AW65" s="6" t="n"/>
      <c r="AX65" s="6" t="n"/>
    </row>
    <row r="66">
      <c r="J66" s="8" t="n"/>
      <c r="K66" s="8" t="n"/>
      <c r="L66" s="8" t="n"/>
      <c r="M66" s="8" t="n"/>
      <c r="N66" s="8" t="n"/>
      <c r="P66" s="8" t="n"/>
      <c r="Q66" s="8" t="n"/>
      <c r="R66" s="8" t="n"/>
      <c r="S66" s="8" t="n"/>
      <c r="T66" s="8" t="n"/>
      <c r="V66" s="8" t="n"/>
      <c r="W66" s="8" t="n"/>
      <c r="X66" s="8" t="n"/>
      <c r="Y66" s="8" t="n"/>
      <c r="Z66" s="8" t="n"/>
      <c r="AB66" s="8" t="n"/>
      <c r="AC66" s="8" t="n"/>
      <c r="AD66" s="8" t="n"/>
      <c r="AE66" s="8" t="n"/>
      <c r="AF66" s="8" t="n"/>
      <c r="AH66" s="8" t="n"/>
      <c r="AI66" s="8" t="n"/>
      <c r="AJ66" s="8" t="n"/>
      <c r="AK66" s="8" t="n"/>
      <c r="AL66" s="8" t="n"/>
      <c r="AN66" s="8" t="n"/>
      <c r="AO66" s="8" t="n"/>
      <c r="AP66" s="8" t="n"/>
      <c r="AQ66" s="8" t="n"/>
      <c r="AR66" s="8" t="n"/>
      <c r="AT66" s="8" t="n"/>
      <c r="AU66" s="8" t="n"/>
      <c r="AV66" s="8" t="n"/>
      <c r="AW66" s="8" t="n"/>
      <c r="AX66" s="8" t="n"/>
    </row>
    <row r="67">
      <c r="J67" s="8" t="n"/>
      <c r="K67" s="8" t="n"/>
      <c r="L67" s="8" t="n"/>
      <c r="M67" s="8" t="n"/>
      <c r="N67" s="8" t="n"/>
      <c r="P67" s="8" t="n"/>
      <c r="Q67" s="8" t="n"/>
      <c r="R67" s="8" t="n"/>
      <c r="S67" s="8" t="n"/>
      <c r="T67" s="8" t="n"/>
      <c r="V67" s="8" t="n"/>
      <c r="W67" s="8" t="n"/>
      <c r="X67" s="8" t="n"/>
      <c r="Y67" s="8" t="n"/>
      <c r="Z67" s="8" t="n"/>
      <c r="AB67" s="8" t="n"/>
      <c r="AC67" s="8" t="n"/>
      <c r="AD67" s="8" t="n"/>
      <c r="AE67" s="8" t="n"/>
      <c r="AF67" s="8" t="n"/>
      <c r="AH67" s="8" t="n"/>
      <c r="AI67" s="8" t="n"/>
      <c r="AJ67" s="8" t="n"/>
      <c r="AK67" s="8" t="n"/>
      <c r="AL67" s="8" t="n"/>
      <c r="AN67" s="8" t="n"/>
      <c r="AO67" s="8" t="n"/>
      <c r="AP67" s="8" t="n"/>
      <c r="AQ67" s="8" t="n"/>
      <c r="AR67" s="8" t="n"/>
      <c r="AT67" s="8" t="n"/>
      <c r="AU67" s="8" t="n"/>
      <c r="AV67" s="8" t="n"/>
      <c r="AW67" s="8" t="n"/>
      <c r="AX67" s="8" t="n"/>
    </row>
    <row r="68">
      <c r="J68" s="8" t="n"/>
      <c r="K68" s="8" t="n"/>
      <c r="L68" s="8" t="n"/>
      <c r="M68" s="8" t="n"/>
      <c r="N68" s="8" t="n"/>
      <c r="P68" s="8" t="n"/>
      <c r="Q68" s="8" t="n"/>
      <c r="R68" s="8" t="n"/>
      <c r="S68" s="8" t="n"/>
      <c r="T68" s="8" t="n"/>
      <c r="V68" s="8" t="n"/>
      <c r="W68" s="8" t="n"/>
      <c r="X68" s="8" t="n"/>
      <c r="Y68" s="8" t="n"/>
      <c r="Z68" s="8" t="n"/>
      <c r="AB68" s="8" t="n"/>
      <c r="AC68" s="8" t="n"/>
      <c r="AD68" s="8" t="n"/>
      <c r="AE68" s="8" t="n"/>
      <c r="AF68" s="8" t="n"/>
      <c r="AH68" s="8" t="n"/>
      <c r="AI68" s="8" t="n"/>
      <c r="AJ68" s="8" t="n"/>
      <c r="AK68" s="8" t="n"/>
      <c r="AL68" s="8" t="n"/>
      <c r="AN68" s="8" t="n"/>
      <c r="AO68" s="8" t="n"/>
      <c r="AP68" s="8" t="n"/>
      <c r="AQ68" s="8" t="n"/>
      <c r="AR68" s="8" t="n"/>
      <c r="AT68" s="8" t="n"/>
      <c r="AU68" s="8" t="n"/>
      <c r="AV68" s="8" t="n"/>
      <c r="AW68" s="8" t="n"/>
      <c r="AX68" s="8" t="n"/>
    </row>
    <row r="69">
      <c r="J69" s="8" t="n"/>
      <c r="K69" s="8" t="n"/>
      <c r="L69" s="8" t="n"/>
      <c r="M69" s="8" t="n"/>
      <c r="N69" s="8" t="n"/>
      <c r="P69" s="8" t="n"/>
      <c r="Q69" s="8" t="n"/>
      <c r="R69" s="8" t="n"/>
      <c r="S69" s="8" t="n"/>
      <c r="T69" s="8" t="n"/>
      <c r="V69" s="8" t="n"/>
      <c r="W69" s="8" t="n"/>
      <c r="X69" s="8" t="n"/>
      <c r="Y69" s="8" t="n"/>
      <c r="Z69" s="8" t="n"/>
      <c r="AB69" s="8" t="n"/>
      <c r="AC69" s="8" t="n"/>
      <c r="AD69" s="8" t="n"/>
      <c r="AE69" s="8" t="n"/>
      <c r="AF69" s="8" t="n"/>
      <c r="AH69" s="8" t="n"/>
      <c r="AI69" s="8" t="n"/>
      <c r="AJ69" s="8" t="n"/>
      <c r="AK69" s="8" t="n"/>
      <c r="AL69" s="8" t="n"/>
      <c r="AN69" s="8" t="n"/>
      <c r="AO69" s="8" t="n"/>
      <c r="AP69" s="8" t="n"/>
      <c r="AQ69" s="8" t="n"/>
      <c r="AR69" s="8" t="n"/>
      <c r="AT69" s="8" t="n"/>
      <c r="AU69" s="8" t="n"/>
      <c r="AV69" s="8" t="n"/>
      <c r="AW69" s="8" t="n"/>
      <c r="AX69" s="8" t="n"/>
    </row>
    <row r="70">
      <c r="J70" s="8" t="n"/>
      <c r="K70" s="8" t="n"/>
      <c r="L70" s="8" t="n"/>
      <c r="M70" s="8" t="n"/>
      <c r="N70" s="8" t="n"/>
      <c r="P70" s="8" t="n"/>
      <c r="Q70" s="8" t="n"/>
      <c r="R70" s="8" t="n"/>
      <c r="S70" s="8" t="n"/>
      <c r="T70" s="8" t="n"/>
      <c r="V70" s="8" t="n"/>
      <c r="W70" s="8" t="n"/>
      <c r="X70" s="8" t="n"/>
      <c r="Y70" s="8" t="n"/>
      <c r="Z70" s="8" t="n"/>
      <c r="AB70" s="8" t="n"/>
      <c r="AC70" s="8" t="n"/>
      <c r="AD70" s="8" t="n"/>
      <c r="AE70" s="8" t="n"/>
      <c r="AF70" s="8" t="n"/>
      <c r="AH70" s="8" t="n"/>
      <c r="AI70" s="8" t="n"/>
      <c r="AJ70" s="8" t="n"/>
      <c r="AK70" s="8" t="n"/>
      <c r="AL70" s="8" t="n"/>
      <c r="AN70" s="8" t="n"/>
      <c r="AO70" s="8" t="n"/>
      <c r="AP70" s="8" t="n"/>
      <c r="AQ70" s="8" t="n"/>
      <c r="AR70" s="8" t="n"/>
      <c r="AT70" s="8" t="n"/>
      <c r="AU70" s="8" t="n"/>
      <c r="AV70" s="8" t="n"/>
      <c r="AW70" s="8" t="n"/>
      <c r="AX70" s="8" t="n"/>
    </row>
    <row r="71">
      <c r="J71" s="8" t="n"/>
      <c r="K71" s="8" t="n"/>
      <c r="L71" s="8" t="n"/>
      <c r="M71" s="8" t="n"/>
      <c r="N71" s="8" t="n"/>
      <c r="P71" s="8" t="n"/>
      <c r="Q71" s="8" t="n"/>
      <c r="R71" s="8" t="n"/>
      <c r="S71" s="8" t="n"/>
      <c r="T71" s="8" t="n"/>
      <c r="V71" s="8" t="n"/>
      <c r="W71" s="8" t="n"/>
      <c r="X71" s="8" t="n"/>
      <c r="Y71" s="8" t="n"/>
      <c r="Z71" s="8" t="n"/>
      <c r="AB71" s="8" t="n"/>
      <c r="AC71" s="8" t="n"/>
      <c r="AD71" s="8" t="n"/>
      <c r="AE71" s="8" t="n"/>
      <c r="AF71" s="8" t="n"/>
      <c r="AH71" s="8" t="n"/>
      <c r="AI71" s="8" t="n"/>
      <c r="AJ71" s="8" t="n"/>
      <c r="AK71" s="8" t="n"/>
      <c r="AL71" s="8" t="n"/>
      <c r="AN71" s="8" t="n"/>
      <c r="AO71" s="8" t="n"/>
      <c r="AP71" s="8" t="n"/>
      <c r="AQ71" s="8" t="n"/>
      <c r="AR71" s="8" t="n"/>
      <c r="AT71" s="8" t="n"/>
      <c r="AU71" s="8" t="n"/>
      <c r="AV71" s="8" t="n"/>
      <c r="AW71" s="8" t="n"/>
      <c r="AX71" s="8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B6:H11">
    <cfRule type="expression" priority="1" dxfId="3">
      <formula>B6=TODAY()</formula>
    </cfRule>
    <cfRule type="expression" priority="2" dxfId="4">
      <formula>ROW()-ROW($B$6)+1=$B$2</formula>
    </cfRule>
    <cfRule type="expression" priority="3" dxfId="5">
      <formula>MONTH(B6)&lt;&gt;$H$1</formula>
    </cfRule>
  </conditionalFormatting>
  <conditionalFormatting sqref="C15:H19">
    <cfRule type="expression" priority="4" dxfId="2">
      <formula>$B15=TRUE</formula>
    </cfRule>
  </conditionalFormatting>
  <conditionalFormatting sqref="C23:H27">
    <cfRule type="expression" priority="5" dxfId="2">
      <formula>$B23=TRUE</formula>
    </cfRule>
  </conditionalFormatting>
  <conditionalFormatting sqref="J5:N5">
    <cfRule type="expression" priority="6" dxfId="0">
      <formula>$N$5=TODAY()</formula>
    </cfRule>
    <cfRule type="expression" priority="7" dxfId="6">
      <formula>MONTH($N$5)&lt;&gt;$H$1</formula>
    </cfRule>
  </conditionalFormatting>
  <conditionalFormatting sqref="M47:N56">
    <cfRule type="expression" priority="8" dxfId="2">
      <formula>$J47=TRUE</formula>
    </cfRule>
  </conditionalFormatting>
  <conditionalFormatting sqref="P5:T5">
    <cfRule type="expression" priority="9" dxfId="0">
      <formula>$T$5=TODAY()</formula>
    </cfRule>
    <cfRule type="expression" priority="10" dxfId="6">
      <formula>MONTH($T$5)&lt;&gt;$H$1</formula>
    </cfRule>
  </conditionalFormatting>
  <conditionalFormatting sqref="S47:T56">
    <cfRule type="expression" priority="11" dxfId="2">
      <formula>$P47=TRUE</formula>
    </cfRule>
  </conditionalFormatting>
  <conditionalFormatting sqref="V5:Z5">
    <cfRule type="expression" priority="12" dxfId="0">
      <formula>$Z$5=TODAY()</formula>
    </cfRule>
    <cfRule type="expression" priority="13" dxfId="6">
      <formula>MONTH($Z$5)&lt;&gt;$H$1</formula>
    </cfRule>
  </conditionalFormatting>
  <conditionalFormatting sqref="Y47:Z56">
    <cfRule type="expression" priority="14" dxfId="2">
      <formula>$V47=TRUE</formula>
    </cfRule>
  </conditionalFormatting>
  <conditionalFormatting sqref="AB5:AF5">
    <cfRule type="expression" priority="15" dxfId="0">
      <formula>$AF$5=TODAY()</formula>
    </cfRule>
    <cfRule type="expression" priority="16" dxfId="6">
      <formula>MONTH($AF$5)&lt;&gt;$H$1</formula>
    </cfRule>
  </conditionalFormatting>
  <conditionalFormatting sqref="AE47:AF56">
    <cfRule type="expression" priority="17" dxfId="2">
      <formula>$AB47=TRUE</formula>
    </cfRule>
  </conditionalFormatting>
  <conditionalFormatting sqref="AH5:AL5">
    <cfRule type="expression" priority="18" dxfId="0">
      <formula>$AL$5=TODAY()</formula>
    </cfRule>
    <cfRule type="expression" priority="19" dxfId="6">
      <formula>MONTH($AL$5)&lt;&gt;$H$1</formula>
    </cfRule>
  </conditionalFormatting>
  <conditionalFormatting sqref="AK47:AL56">
    <cfRule type="expression" priority="20" dxfId="2">
      <formula>$AH47=TRUE</formula>
    </cfRule>
  </conditionalFormatting>
  <conditionalFormatting sqref="AN5:AR5">
    <cfRule type="expression" priority="21" dxfId="0">
      <formula>$AR$5=TODAY()</formula>
    </cfRule>
    <cfRule type="expression" priority="22" dxfId="6">
      <formula>MONTH($AR$5)&lt;&gt;$H$1</formula>
    </cfRule>
  </conditionalFormatting>
  <conditionalFormatting sqref="AQ47:AR56">
    <cfRule type="expression" priority="23" dxfId="2">
      <formula>$AN47=TRUE</formula>
    </cfRule>
  </conditionalFormatting>
  <conditionalFormatting sqref="AT5:AX5">
    <cfRule type="expression" priority="24" dxfId="0">
      <formula>$AX$5=TODAY()</formula>
    </cfRule>
    <cfRule type="expression" priority="25" dxfId="6">
      <formula>MONTH($AX$5)&lt;&gt;$H$1</formula>
    </cfRule>
  </conditionalFormatting>
  <conditionalFormatting sqref="AW47:AX56">
    <cfRule type="expression" priority="26" dxfId="2">
      <formula>$AT47=TRUE</formula>
    </cfRule>
  </conditionalFormatting>
  <conditionalFormatting sqref="K47:K56 Q47:Q56 W47:W56 AC47:AC56 AI47:AI56 AO47:AO56 AU47:AU56">
    <cfRule type="expression" priority="27" dxfId="7">
      <formula>AND(K47&lt;&gt;"",K47=INDIRECT("Settings!$B$12"))</formula>
    </cfRule>
    <cfRule type="expression" priority="28" dxfId="8">
      <formula>AND(K47&lt;&gt;"",K47=INDIRECT("Settings!$B$13"))</formula>
    </cfRule>
    <cfRule type="expression" priority="29" dxfId="9">
      <formula>AND(K47&lt;&gt;"",K47=INDIRECT("Settings!$B$14"))</formula>
    </cfRule>
    <cfRule type="expression" priority="30" dxfId="10">
      <formula>AND(K47&lt;&gt;"",K47=INDIRECT("Settings!$B$15"))</formula>
    </cfRule>
    <cfRule type="expression" priority="31" dxfId="11">
      <formula>AND(K47&lt;&gt;"",K47=INDIRECT("Settings!$B$16"))</formula>
    </cfRule>
    <cfRule type="expression" priority="32" dxfId="12">
      <formula>AND(K47&lt;&gt;"",K47=INDIRECT("Settings!$B$17"))</formula>
    </cfRule>
    <cfRule type="expression" priority="33" dxfId="13">
      <formula>AND(K47&lt;&gt;"",K47=INDIRECT("Settings!$B$18"))</formula>
    </cfRule>
    <cfRule type="expression" priority="58" dxfId="14">
      <formula>AND(K47&lt;&gt;"",COUNTIF(INDIRECT("Settings!B12:B18"),K47)=0)</formula>
    </cfRule>
  </conditionalFormatting>
  <conditionalFormatting sqref="L47:L56 R47:R56 X47:X56 AD47:AD56 AJ47:AJ56 AP47:AP56 AV47:AV56">
    <cfRule type="expression" priority="34" dxfId="15">
      <formula>AND(L47&lt;&gt;"",L47=INDIRECT("Settings!$B$22"))</formula>
    </cfRule>
    <cfRule type="expression" priority="36" dxfId="16">
      <formula>AND(L47&lt;&gt;"",L47=INDIRECT("Settings!$B$23"))</formula>
    </cfRule>
    <cfRule type="expression" priority="38" dxfId="17">
      <formula>AND(L47&lt;&gt;"",L47=INDIRECT("Settings!$B$24"))</formula>
    </cfRule>
    <cfRule type="expression" priority="40" dxfId="18">
      <formula>AND(L47&lt;&gt;"",L47=INDIRECT("Settings!$B$25"))</formula>
    </cfRule>
    <cfRule type="expression" priority="42" dxfId="19">
      <formula>AND(L47&lt;&gt;"",L47=INDIRECT("Settings!$B$26"))</formula>
    </cfRule>
    <cfRule type="expression" priority="44" dxfId="20">
      <formula>AND(L47&lt;&gt;"",L47=INDIRECT("Settings!$B$27"))</formula>
    </cfRule>
    <cfRule type="expression" priority="46" dxfId="21">
      <formula>AND(L47&lt;&gt;"",L47=INDIRECT("Settings!$B$28"))</formula>
    </cfRule>
    <cfRule type="expression" priority="48" dxfId="22">
      <formula>AND(L47&lt;&gt;"",L47=INDIRECT("Settings!$B$29"))</formula>
    </cfRule>
    <cfRule type="expression" priority="50" dxfId="23">
      <formula>AND(L47&lt;&gt;"",L47=INDIRECT("Settings!$B$30"))</formula>
    </cfRule>
    <cfRule type="expression" priority="52" dxfId="24">
      <formula>AND(L47&lt;&gt;"",L47=INDIRECT("Settings!$B$31"))</formula>
    </cfRule>
    <cfRule type="expression" priority="54" dxfId="25">
      <formula>AND(L47&lt;&gt;"",L47=INDIRECT("Settings!$B$32"))</formula>
    </cfRule>
    <cfRule type="expression" priority="56" dxfId="26">
      <formula>AND(L47&lt;&gt;"",L47=INDIRECT("Settings!$B$33"))</formula>
    </cfRule>
    <cfRule type="expression" priority="59" dxfId="14">
      <formula>AND(L47&lt;&gt;"",COUNTIF(INDIRECT("Settings!B22:B33"),L47)=0)</formula>
    </cfRule>
  </conditionalFormatting>
  <conditionalFormatting sqref="N9:N44 T9:T44 Z9:Z44 AF9:AF44 AL9:AL44 AR9:AR44 AX9:AX44">
    <cfRule type="expression" priority="35" dxfId="15">
      <formula>AND(N9&lt;&gt;"",N9=INDIRECT("Settings!$B$22"))</formula>
    </cfRule>
    <cfRule type="expression" priority="37" dxfId="16">
      <formula>AND(N9&lt;&gt;"",N9=INDIRECT("Settings!$B$23"))</formula>
    </cfRule>
    <cfRule type="expression" priority="39" dxfId="17">
      <formula>AND(N9&lt;&gt;"",N9=INDIRECT("Settings!$B$24"))</formula>
    </cfRule>
    <cfRule type="expression" priority="41" dxfId="18">
      <formula>AND(N9&lt;&gt;"",N9=INDIRECT("Settings!$B$25"))</formula>
    </cfRule>
    <cfRule type="expression" priority="43" dxfId="19">
      <formula>AND(N9&lt;&gt;"",N9=INDIRECT("Settings!$B$26"))</formula>
    </cfRule>
    <cfRule type="expression" priority="45" dxfId="20">
      <formula>AND(N9&lt;&gt;"",N9=INDIRECT("Settings!$B$27"))</formula>
    </cfRule>
    <cfRule type="expression" priority="47" dxfId="21">
      <formula>AND(N9&lt;&gt;"",N9=INDIRECT("Settings!$B$28"))</formula>
    </cfRule>
    <cfRule type="expression" priority="49" dxfId="22">
      <formula>AND(N9&lt;&gt;"",N9=INDIRECT("Settings!$B$29"))</formula>
    </cfRule>
    <cfRule type="expression" priority="51" dxfId="23">
      <formula>AND(N9&lt;&gt;"",N9=INDIRECT("Settings!$B$30"))</formula>
    </cfRule>
    <cfRule type="expression" priority="53" dxfId="24">
      <formula>AND(N9&lt;&gt;"",N9=INDIRECT("Settings!$B$31"))</formula>
    </cfRule>
    <cfRule type="expression" priority="55" dxfId="25">
      <formula>AND(N9&lt;&gt;"",N9=INDIRECT("Settings!$B$32"))</formula>
    </cfRule>
    <cfRule type="expression" priority="57" dxfId="26">
      <formula>AND(N9&lt;&gt;"",N9=INDIRECT("Settings!$B$33"))</formula>
    </cfRule>
    <cfRule type="expression" priority="60" dxfId="14">
      <formula>AND(N9&lt;&gt;"",COUNTIF(INDIRECT("Settings!B22:B33"),N9)=0)</formula>
    </cfRule>
  </conditionalFormatting>
  <conditionalFormatting sqref="B4:BJ71">
    <cfRule type="expression" priority="61" dxfId="5">
      <formula>$B$3&lt;&gt;""</formula>
    </cfRule>
  </conditionalFormatting>
  <conditionalFormatting sqref="BB6:BH26">
    <cfRule type="expression" priority="62" dxfId="27">
      <formula>BB6=TRUE</formula>
    </cfRule>
  </conditionalFormatting>
  <conditionalFormatting sqref="BA6:BJ26">
    <cfRule type="expression" priority="63" dxfId="28">
      <formula>$BA6=""</formula>
    </cfRule>
  </conditionalFormatting>
  <dataValidations count="7">
    <dataValidation sqref="K47:K56 Q47:Q56 W47:W56 AC47:AC56 AI47:AI56 AO47:AO56 AU47:AU56" showDropDown="0" showInputMessage="0" showErrorMessage="0" allowBlank="1" type="list">
      <formula1>=Settings!$B$12:$B$18</formula1>
    </dataValidation>
    <dataValidation sqref="L47:L56 N9:N44 R47:R56 T9:T44 X47:X56 Z9:Z44 AD47:AD56 AF9:AF44 AJ47:AJ56 AL9:AL44 AP47:AP56 AR9:AR44 AV47:AV56 AX9:AX44" showDropDown="0" showInputMessage="0" showErrorMessage="0" allowBlank="1" type="list">
      <formula1>=Settings!$B$22:$B$33</formula1>
    </dataValidation>
    <dataValidation sqref="BB31:BH31" showDropDown="0" showInputMessage="0" showErrorMessage="1" allowBlank="1" errorTitle="Out of range" error="Value must be between Min and Max set on the Settings tab." type="decimal" operator="between">
      <formula1>Settings!$D$61</formula1>
      <formula2>Settings!$E$61</formula2>
    </dataValidation>
    <dataValidation sqref="BB33:BH33" showDropDown="0" showInputMessage="0" showErrorMessage="1" allowBlank="1" errorTitle="Out of range" error="Value must be between Min and Max set on the Settings tab." type="decimal" operator="between">
      <formula1>Settings!$D$62</formula1>
      <formula2>Settings!$E$62</formula2>
    </dataValidation>
    <dataValidation sqref="BB35:BH35" showDropDown="0" showInputMessage="0" showErrorMessage="1" allowBlank="1" errorTitle="Out of range" error="Value must be between Min and Max set on the Settings tab." type="decimal" operator="between">
      <formula1>Settings!$D$63</formula1>
      <formula2>Settings!$E$63</formula2>
    </dataValidation>
    <dataValidation sqref="BB37:BH37" showDropDown="0" showInputMessage="0" showErrorMessage="1" allowBlank="1" errorTitle="Out of range" error="Value must be between Min and Max set on the Settings tab." type="decimal" operator="between">
      <formula1>Settings!$D$64</formula1>
      <formula2>Settings!$E$64</formula2>
    </dataValidation>
    <dataValidation sqref="BB39:BH39" showDropDown="0" showInputMessage="0" showErrorMessage="1" allowBlank="1" errorTitle="Out of range" error="Value must be between Min and Max set on the Settings tab." type="decimal" operator="between">
      <formula1>Settings!$D$65</formula1>
      <formula2>Settings!$E$65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4566B"/>
    <outlinePr summaryBelow="1" summaryRight="1"/>
    <pageSetUpPr fitToPage="1"/>
  </sheetPr>
  <dimension ref="B1:BT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3" customWidth="1" min="9" max="9"/>
    <col width="11" customWidth="1" min="10" max="10"/>
    <col width="11" customWidth="1" min="11" max="11"/>
    <col width="13" customWidth="1" min="12" max="12"/>
    <col width="20" customWidth="1" min="13" max="13"/>
    <col width="13" customWidth="1" min="14" max="14"/>
    <col width="3" customWidth="1" min="15" max="15"/>
    <col width="11" customWidth="1" min="16" max="16"/>
    <col width="11" customWidth="1" min="17" max="17"/>
    <col width="13" customWidth="1" min="18" max="18"/>
    <col width="20" customWidth="1" min="19" max="19"/>
    <col width="13" customWidth="1" min="20" max="20"/>
    <col width="3" customWidth="1" min="21" max="21"/>
    <col width="11" customWidth="1" min="22" max="22"/>
    <col width="11" customWidth="1" min="23" max="23"/>
    <col width="13" customWidth="1" min="24" max="24"/>
    <col width="20" customWidth="1" min="25" max="25"/>
    <col width="13" customWidth="1" min="26" max="26"/>
    <col width="3" customWidth="1" min="27" max="27"/>
    <col width="11" customWidth="1" min="28" max="28"/>
    <col width="11" customWidth="1" min="29" max="29"/>
    <col width="13" customWidth="1" min="30" max="30"/>
    <col width="20" customWidth="1" min="31" max="31"/>
    <col width="13" customWidth="1" min="32" max="32"/>
    <col width="3" customWidth="1" min="33" max="33"/>
    <col width="11" customWidth="1" min="34" max="34"/>
    <col width="11" customWidth="1" min="35" max="35"/>
    <col width="13" customWidth="1" min="36" max="36"/>
    <col width="20" customWidth="1" min="37" max="37"/>
    <col width="13" customWidth="1" min="38" max="38"/>
    <col width="3" customWidth="1" min="39" max="39"/>
    <col width="11" customWidth="1" min="40" max="40"/>
    <col width="11" customWidth="1" min="41" max="41"/>
    <col width="13" customWidth="1" min="42" max="42"/>
    <col width="20" customWidth="1" min="43" max="43"/>
    <col width="13" customWidth="1" min="44" max="44"/>
    <col width="3" customWidth="1" min="45" max="45"/>
    <col width="11" customWidth="1" min="46" max="46"/>
    <col width="11" customWidth="1" min="47" max="47"/>
    <col width="13" customWidth="1" min="48" max="48"/>
    <col width="20" customWidth="1" min="49" max="49"/>
    <col width="13" customWidth="1" min="50" max="50"/>
    <col width="3" customWidth="1" min="51" max="51"/>
    <col width="3" customWidth="1" min="52" max="52"/>
    <col width="26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9" customWidth="1" min="61" max="61"/>
    <col width="14" customWidth="1" min="62" max="62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B1" s="24">
        <f>Calc!M3&amp;"  ·  "&amp;INDEX(Calc!$F$10:$F$15,$B$2)</f>
        <v/>
      </c>
      <c r="H1" s="25">
        <f>Calc!$B$1</f>
        <v/>
      </c>
    </row>
    <row r="2">
      <c r="B2" s="26" t="n">
        <v>5</v>
      </c>
      <c r="D2" s="17">
        <f>HYPERLINK("#'Month'!A1","◀ Month")</f>
        <v/>
      </c>
      <c r="F2" s="17">
        <f>HYPERLINK("#'W4'!A1","‹ Prev")</f>
        <v/>
      </c>
      <c r="H2" s="17">
        <f>HYPERLINK("#'W6'!A1","Next ›")</f>
        <v/>
      </c>
    </row>
    <row r="3">
      <c r="B3" s="27">
        <f>IF(INDEX(Calc!$E$10:$E$15,$B$2),"","This week is not used in "&amp;Calc!$M$2&amp;".")</f>
        <v/>
      </c>
    </row>
    <row r="4">
      <c r="BA4" s="6">
        <f>IF(Settings!$C$100="",Settings!$B$100,Settings!$C$100)</f>
        <v/>
      </c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</row>
    <row r="5">
      <c r="B5" s="28">
        <f>LEFT(Calc!D1,2)</f>
        <v/>
      </c>
      <c r="C5" s="28">
        <f>LEFT(Calc!E1,2)</f>
        <v/>
      </c>
      <c r="D5" s="28">
        <f>LEFT(Calc!F1,2)</f>
        <v/>
      </c>
      <c r="E5" s="28">
        <f>LEFT(Calc!G1,2)</f>
        <v/>
      </c>
      <c r="F5" s="28">
        <f>LEFT(Calc!H1,2)</f>
        <v/>
      </c>
      <c r="G5" s="28">
        <f>LEFT(Calc!I1,2)</f>
        <v/>
      </c>
      <c r="H5" s="28">
        <f>LEFT(Calc!J1,2)</f>
        <v/>
      </c>
      <c r="J5" s="29">
        <f>IF(INDEX(Settings!$C$69:$C$75,WEEKDAY($N$5,1))="",INDEX(Settings!$B$69:$B$75,WEEKDAY($N$5,1)),INDEX(Settings!$C$69:$C$75,WEEKDAY($N$5,1)))</f>
        <v/>
      </c>
      <c r="K5" s="29" t="n"/>
      <c r="L5" s="29" t="n"/>
      <c r="M5" s="29" t="n"/>
      <c r="N5" s="30">
        <f>INDEX(Calc!$D$3:$J$8,$B$2,1)</f>
        <v/>
      </c>
      <c r="P5" s="29">
        <f>IF(INDEX(Settings!$C$69:$C$75,WEEKDAY($T$5,1))="",INDEX(Settings!$B$69:$B$75,WEEKDAY($T$5,1)),INDEX(Settings!$C$69:$C$75,WEEKDAY($T$5,1)))</f>
        <v/>
      </c>
      <c r="Q5" s="29" t="n"/>
      <c r="R5" s="29" t="n"/>
      <c r="S5" s="29" t="n"/>
      <c r="T5" s="30">
        <f>INDEX(Calc!$D$3:$J$8,$B$2,2)</f>
        <v/>
      </c>
      <c r="V5" s="29">
        <f>IF(INDEX(Settings!$C$69:$C$75,WEEKDAY($Z$5,1))="",INDEX(Settings!$B$69:$B$75,WEEKDAY($Z$5,1)),INDEX(Settings!$C$69:$C$75,WEEKDAY($Z$5,1)))</f>
        <v/>
      </c>
      <c r="W5" s="29" t="n"/>
      <c r="X5" s="29" t="n"/>
      <c r="Y5" s="29" t="n"/>
      <c r="Z5" s="30">
        <f>INDEX(Calc!$D$3:$J$8,$B$2,3)</f>
        <v/>
      </c>
      <c r="AB5" s="29">
        <f>IF(INDEX(Settings!$C$69:$C$75,WEEKDAY($AF$5,1))="",INDEX(Settings!$B$69:$B$75,WEEKDAY($AF$5,1)),INDEX(Settings!$C$69:$C$75,WEEKDAY($AF$5,1)))</f>
        <v/>
      </c>
      <c r="AC5" s="29" t="n"/>
      <c r="AD5" s="29" t="n"/>
      <c r="AE5" s="29" t="n"/>
      <c r="AF5" s="30">
        <f>INDEX(Calc!$D$3:$J$8,$B$2,4)</f>
        <v/>
      </c>
      <c r="AH5" s="29">
        <f>IF(INDEX(Settings!$C$69:$C$75,WEEKDAY($AL$5,1))="",INDEX(Settings!$B$69:$B$75,WEEKDAY($AL$5,1)),INDEX(Settings!$C$69:$C$75,WEEKDAY($AL$5,1)))</f>
        <v/>
      </c>
      <c r="AI5" s="29" t="n"/>
      <c r="AJ5" s="29" t="n"/>
      <c r="AK5" s="29" t="n"/>
      <c r="AL5" s="30">
        <f>INDEX(Calc!$D$3:$J$8,$B$2,5)</f>
        <v/>
      </c>
      <c r="AN5" s="29">
        <f>IF(INDEX(Settings!$C$69:$C$75,WEEKDAY($AR$5,1))="",INDEX(Settings!$B$69:$B$75,WEEKDAY($AR$5,1)),INDEX(Settings!$C$69:$C$75,WEEKDAY($AR$5,1)))</f>
        <v/>
      </c>
      <c r="AO5" s="29" t="n"/>
      <c r="AP5" s="29" t="n"/>
      <c r="AQ5" s="29" t="n"/>
      <c r="AR5" s="30">
        <f>INDEX(Calc!$D$3:$J$8,$B$2,6)</f>
        <v/>
      </c>
      <c r="AT5" s="29">
        <f>IF(INDEX(Settings!$C$69:$C$75,WEEKDAY($AX$5,1))="",INDEX(Settings!$B$69:$B$75,WEEKDAY($AX$5,1)),INDEX(Settings!$C$69:$C$75,WEEKDAY($AX$5,1)))</f>
        <v/>
      </c>
      <c r="AU5" s="29" t="n"/>
      <c r="AV5" s="29" t="n"/>
      <c r="AW5" s="29" t="n"/>
      <c r="AX5" s="30">
        <f>INDEX(Calc!$D$3:$J$8,$B$2,7)</f>
        <v/>
      </c>
      <c r="BA5" s="31" t="n"/>
      <c r="BB5" s="32">
        <f>LEFT(IF(INDEX(Settings!$C$69:$C$75,WEEKDAY(INDEX(Calc!$D$3:$J$8,$B$2,1),1))="",INDEX(Settings!$B$69:$B$75,WEEKDAY(INDEX(Calc!$D$3:$J$8,$B$2,1),1)),INDEX(Settings!$C$69:$C$75,WEEKDAY(INDEX(Calc!$D$3:$J$8,$B$2,1),1))),3)</f>
        <v/>
      </c>
      <c r="BC5" s="32">
        <f>LEFT(IF(INDEX(Settings!$C$69:$C$75,WEEKDAY(INDEX(Calc!$D$3:$J$8,$B$2,2),1))="",INDEX(Settings!$B$69:$B$75,WEEKDAY(INDEX(Calc!$D$3:$J$8,$B$2,2),1)),INDEX(Settings!$C$69:$C$75,WEEKDAY(INDEX(Calc!$D$3:$J$8,$B$2,2),1))),3)</f>
        <v/>
      </c>
      <c r="BD5" s="32">
        <f>LEFT(IF(INDEX(Settings!$C$69:$C$75,WEEKDAY(INDEX(Calc!$D$3:$J$8,$B$2,3),1))="",INDEX(Settings!$B$69:$B$75,WEEKDAY(INDEX(Calc!$D$3:$J$8,$B$2,3),1)),INDEX(Settings!$C$69:$C$75,WEEKDAY(INDEX(Calc!$D$3:$J$8,$B$2,3),1))),3)</f>
        <v/>
      </c>
      <c r="BE5" s="32">
        <f>LEFT(IF(INDEX(Settings!$C$69:$C$75,WEEKDAY(INDEX(Calc!$D$3:$J$8,$B$2,4),1))="",INDEX(Settings!$B$69:$B$75,WEEKDAY(INDEX(Calc!$D$3:$J$8,$B$2,4),1)),INDEX(Settings!$C$69:$C$75,WEEKDAY(INDEX(Calc!$D$3:$J$8,$B$2,4),1))),3)</f>
        <v/>
      </c>
      <c r="BF5" s="32">
        <f>LEFT(IF(INDEX(Settings!$C$69:$C$75,WEEKDAY(INDEX(Calc!$D$3:$J$8,$B$2,5),1))="",INDEX(Settings!$B$69:$B$75,WEEKDAY(INDEX(Calc!$D$3:$J$8,$B$2,5),1)),INDEX(Settings!$C$69:$C$75,WEEKDAY(INDEX(Calc!$D$3:$J$8,$B$2,5),1))),3)</f>
        <v/>
      </c>
      <c r="BG5" s="32">
        <f>LEFT(IF(INDEX(Settings!$C$69:$C$75,WEEKDAY(INDEX(Calc!$D$3:$J$8,$B$2,6),1))="",INDEX(Settings!$B$69:$B$75,WEEKDAY(INDEX(Calc!$D$3:$J$8,$B$2,6),1)),INDEX(Settings!$C$69:$C$75,WEEKDAY(INDEX(Calc!$D$3:$J$8,$B$2,6),1))),3)</f>
        <v/>
      </c>
      <c r="BH5" s="32">
        <f>LEFT(IF(INDEX(Settings!$C$69:$C$75,WEEKDAY(INDEX(Calc!$D$3:$J$8,$B$2,7),1))="",INDEX(Settings!$B$69:$B$75,WEEKDAY(INDEX(Calc!$D$3:$J$8,$B$2,7),1)),INDEX(Settings!$C$69:$C$75,WEEKDAY(INDEX(Calc!$D$3:$J$8,$B$2,7),1))),3)</f>
        <v/>
      </c>
      <c r="BI5" s="32" t="inlineStr">
        <is>
          <t>%</t>
        </is>
      </c>
      <c r="BJ5" s="31" t="inlineStr">
        <is>
          <t>Progress</t>
        </is>
      </c>
    </row>
    <row r="6">
      <c r="B6" s="33">
        <f>Calc!D3</f>
        <v/>
      </c>
      <c r="C6" s="33">
        <f>Calc!E3</f>
        <v/>
      </c>
      <c r="D6" s="33">
        <f>Calc!F3</f>
        <v/>
      </c>
      <c r="E6" s="33">
        <f>Calc!G3</f>
        <v/>
      </c>
      <c r="F6" s="33">
        <f>Calc!H3</f>
        <v/>
      </c>
      <c r="G6" s="33">
        <f>Calc!I3</f>
        <v/>
      </c>
      <c r="H6" s="33">
        <f>Calc!J3</f>
        <v/>
      </c>
      <c r="J6" s="34">
        <f>IFERROR(SUMPRODUCT((M47:M56&lt;&gt;"")*(J47:J56=TRUE))/SUMPRODUCT((M47:M56&lt;&gt;"")*1),0)</f>
        <v/>
      </c>
      <c r="K6" s="35">
        <f>IF(J6="","",REPT("█",ROUND(J6*14,0))&amp;REPT("░",14-ROUND(J6*14,0)))</f>
        <v/>
      </c>
      <c r="L6" s="13" t="n"/>
      <c r="M6" s="13" t="n"/>
      <c r="N6" s="13" t="n"/>
      <c r="P6" s="34">
        <f>IFERROR(SUMPRODUCT((S47:S56&lt;&gt;"")*(P47:P56=TRUE))/SUMPRODUCT((S47:S56&lt;&gt;"")*1),0)</f>
        <v/>
      </c>
      <c r="Q6" s="35">
        <f>IF(P6="","",REPT("█",ROUND(P6*14,0))&amp;REPT("░",14-ROUND(P6*14,0)))</f>
        <v/>
      </c>
      <c r="R6" s="13" t="n"/>
      <c r="S6" s="13" t="n"/>
      <c r="T6" s="13" t="n"/>
      <c r="V6" s="34">
        <f>IFERROR(SUMPRODUCT((Y47:Y56&lt;&gt;"")*(V47:V56=TRUE))/SUMPRODUCT((Y47:Y56&lt;&gt;"")*1),0)</f>
        <v/>
      </c>
      <c r="W6" s="35">
        <f>IF(V6="","",REPT("█",ROUND(V6*14,0))&amp;REPT("░",14-ROUND(V6*14,0)))</f>
        <v/>
      </c>
      <c r="X6" s="13" t="n"/>
      <c r="Y6" s="13" t="n"/>
      <c r="Z6" s="13" t="n"/>
      <c r="AB6" s="34">
        <f>IFERROR(SUMPRODUCT((AE47:AE56&lt;&gt;"")*(AB47:AB56=TRUE))/SUMPRODUCT((AE47:AE56&lt;&gt;"")*1),0)</f>
        <v/>
      </c>
      <c r="AC6" s="35">
        <f>IF(AB6="","",REPT("█",ROUND(AB6*14,0))&amp;REPT("░",14-ROUND(AB6*14,0)))</f>
        <v/>
      </c>
      <c r="AD6" s="13" t="n"/>
      <c r="AE6" s="13" t="n"/>
      <c r="AF6" s="13" t="n"/>
      <c r="AH6" s="34">
        <f>IFERROR(SUMPRODUCT((AK47:AK56&lt;&gt;"")*(AH47:AH56=TRUE))/SUMPRODUCT((AK47:AK56&lt;&gt;"")*1),0)</f>
        <v/>
      </c>
      <c r="AI6" s="35">
        <f>IF(AH6="","",REPT("█",ROUND(AH6*14,0))&amp;REPT("░",14-ROUND(AH6*14,0)))</f>
        <v/>
      </c>
      <c r="AJ6" s="13" t="n"/>
      <c r="AK6" s="13" t="n"/>
      <c r="AL6" s="13" t="n"/>
      <c r="AN6" s="34">
        <f>IFERROR(SUMPRODUCT((AQ47:AQ56&lt;&gt;"")*(AN47:AN56=TRUE))/SUMPRODUCT((AQ47:AQ56&lt;&gt;"")*1),0)</f>
        <v/>
      </c>
      <c r="AO6" s="35">
        <f>IF(AN6="","",REPT("█",ROUND(AN6*14,0))&amp;REPT("░",14-ROUND(AN6*14,0)))</f>
        <v/>
      </c>
      <c r="AP6" s="13" t="n"/>
      <c r="AQ6" s="13" t="n"/>
      <c r="AR6" s="13" t="n"/>
      <c r="AT6" s="34">
        <f>IFERROR(SUMPRODUCT((AW47:AW56&lt;&gt;"")*(AT47:AT56=TRUE))/SUMPRODUCT((AW47:AW56&lt;&gt;"")*1),0)</f>
        <v/>
      </c>
      <c r="AU6" s="35">
        <f>IF(AT6="","",REPT("█",ROUND(AT6*14,0))&amp;REPT("░",14-ROUND(AT6*14,0)))</f>
        <v/>
      </c>
      <c r="AV6" s="13" t="n"/>
      <c r="AW6" s="13" t="n"/>
      <c r="AX6" s="13" t="n"/>
      <c r="BA6" s="13">
        <f>IF(Settings!$B$37="","",Settings!$B$37)</f>
        <v/>
      </c>
      <c r="BB6" s="14" t="b">
        <v>0</v>
      </c>
      <c r="BC6" s="14" t="b">
        <v>0</v>
      </c>
      <c r="BD6" s="14" t="b">
        <v>0</v>
      </c>
      <c r="BE6" s="14" t="b">
        <v>0</v>
      </c>
      <c r="BF6" s="14" t="b">
        <v>0</v>
      </c>
      <c r="BG6" s="14" t="b">
        <v>0</v>
      </c>
      <c r="BH6" s="14" t="b">
        <v>0</v>
      </c>
      <c r="BI6" s="34">
        <f>IF($BA6="","",COUNTIF(BB6:BH6,TRUE)/7)</f>
        <v/>
      </c>
      <c r="BJ6" s="36">
        <f>IF(BI6="","",REPT("█",ROUND(BI6*10,0))&amp;REPT("░",10-ROUND(BI6*10,0)))</f>
        <v/>
      </c>
    </row>
    <row r="7">
      <c r="B7" s="33">
        <f>Calc!D4</f>
        <v/>
      </c>
      <c r="C7" s="33">
        <f>Calc!E4</f>
        <v/>
      </c>
      <c r="D7" s="33">
        <f>Calc!F4</f>
        <v/>
      </c>
      <c r="E7" s="33">
        <f>Calc!G4</f>
        <v/>
      </c>
      <c r="F7" s="33">
        <f>Calc!H4</f>
        <v/>
      </c>
      <c r="G7" s="33">
        <f>Calc!I4</f>
        <v/>
      </c>
      <c r="H7" s="33">
        <f>Calc!J4</f>
        <v/>
      </c>
      <c r="BA7" s="13">
        <f>IF(Settings!$B$38="","",Settings!$B$38)</f>
        <v/>
      </c>
      <c r="BB7" s="14" t="b">
        <v>0</v>
      </c>
      <c r="BC7" s="14" t="b">
        <v>0</v>
      </c>
      <c r="BD7" s="14" t="b">
        <v>0</v>
      </c>
      <c r="BE7" s="14" t="b">
        <v>0</v>
      </c>
      <c r="BF7" s="14" t="b">
        <v>0</v>
      </c>
      <c r="BG7" s="14" t="b">
        <v>0</v>
      </c>
      <c r="BH7" s="14" t="b">
        <v>0</v>
      </c>
      <c r="BI7" s="34">
        <f>IF($BA7="","",COUNTIF(BB7:BH7,TRUE)/7)</f>
        <v/>
      </c>
      <c r="BJ7" s="36">
        <f>IF(BI7="","",REPT("█",ROUND(BI7*10,0))&amp;REPT("░",10-ROUND(BI7*10,0)))</f>
        <v/>
      </c>
    </row>
    <row r="8">
      <c r="B8" s="33">
        <f>Calc!D5</f>
        <v/>
      </c>
      <c r="C8" s="33">
        <f>Calc!E5</f>
        <v/>
      </c>
      <c r="D8" s="33">
        <f>Calc!F5</f>
        <v/>
      </c>
      <c r="E8" s="33">
        <f>Calc!G5</f>
        <v/>
      </c>
      <c r="F8" s="33">
        <f>Calc!H5</f>
        <v/>
      </c>
      <c r="G8" s="33">
        <f>Calc!I5</f>
        <v/>
      </c>
      <c r="H8" s="33">
        <f>Calc!J5</f>
        <v/>
      </c>
      <c r="J8" s="6">
        <f>IF(Settings!$C$98="",Settings!$B$98,Settings!$C$98)</f>
        <v/>
      </c>
      <c r="K8" s="6" t="n"/>
      <c r="L8" s="6" t="n"/>
      <c r="M8" s="6" t="n"/>
      <c r="N8" s="6" t="n"/>
      <c r="P8" s="6">
        <f>IF(Settings!$C$98="",Settings!$B$98,Settings!$C$98)</f>
        <v/>
      </c>
      <c r="Q8" s="6" t="n"/>
      <c r="R8" s="6" t="n"/>
      <c r="S8" s="6" t="n"/>
      <c r="T8" s="6" t="n"/>
      <c r="V8" s="6">
        <f>IF(Settings!$C$98="",Settings!$B$98,Settings!$C$98)</f>
        <v/>
      </c>
      <c r="W8" s="6" t="n"/>
      <c r="X8" s="6" t="n"/>
      <c r="Y8" s="6" t="n"/>
      <c r="Z8" s="6" t="n"/>
      <c r="AB8" s="6">
        <f>IF(Settings!$C$98="",Settings!$B$98,Settings!$C$98)</f>
        <v/>
      </c>
      <c r="AC8" s="6" t="n"/>
      <c r="AD8" s="6" t="n"/>
      <c r="AE8" s="6" t="n"/>
      <c r="AF8" s="6" t="n"/>
      <c r="AH8" s="6">
        <f>IF(Settings!$C$98="",Settings!$B$98,Settings!$C$98)</f>
        <v/>
      </c>
      <c r="AI8" s="6" t="n"/>
      <c r="AJ8" s="6" t="n"/>
      <c r="AK8" s="6" t="n"/>
      <c r="AL8" s="6" t="n"/>
      <c r="AN8" s="6">
        <f>IF(Settings!$C$98="",Settings!$B$98,Settings!$C$98)</f>
        <v/>
      </c>
      <c r="AO8" s="6" t="n"/>
      <c r="AP8" s="6" t="n"/>
      <c r="AQ8" s="6" t="n"/>
      <c r="AR8" s="6" t="n"/>
      <c r="AT8" s="6">
        <f>IF(Settings!$C$98="",Settings!$B$98,Settings!$C$98)</f>
        <v/>
      </c>
      <c r="AU8" s="6" t="n"/>
      <c r="AV8" s="6" t="n"/>
      <c r="AW8" s="6" t="n"/>
      <c r="AX8" s="6" t="n"/>
      <c r="BA8" s="13">
        <f>IF(Settings!$B$39="","",Settings!$B$39)</f>
        <v/>
      </c>
      <c r="BB8" s="14" t="b">
        <v>0</v>
      </c>
      <c r="BC8" s="14" t="b">
        <v>0</v>
      </c>
      <c r="BD8" s="14" t="b">
        <v>0</v>
      </c>
      <c r="BE8" s="14" t="b">
        <v>0</v>
      </c>
      <c r="BF8" s="14" t="b">
        <v>0</v>
      </c>
      <c r="BG8" s="14" t="b">
        <v>0</v>
      </c>
      <c r="BH8" s="14" t="b">
        <v>0</v>
      </c>
      <c r="BI8" s="34">
        <f>IF($BA8="","",COUNTIF(BB8:BH8,TRUE)/7)</f>
        <v/>
      </c>
      <c r="BJ8" s="36">
        <f>IF(BI8="","",REPT("█",ROUND(BI8*10,0))&amp;REPT("░",10-ROUND(BI8*10,0)))</f>
        <v/>
      </c>
    </row>
    <row r="9">
      <c r="B9" s="33">
        <f>Calc!D6</f>
        <v/>
      </c>
      <c r="C9" s="33">
        <f>Calc!E6</f>
        <v/>
      </c>
      <c r="D9" s="33">
        <f>Calc!F6</f>
        <v/>
      </c>
      <c r="E9" s="33">
        <f>Calc!G6</f>
        <v/>
      </c>
      <c r="F9" s="33">
        <f>Calc!H6</f>
        <v/>
      </c>
      <c r="G9" s="33">
        <f>Calc!I6</f>
        <v/>
      </c>
      <c r="H9" s="33">
        <f>Calc!J6</f>
        <v/>
      </c>
      <c r="J9" s="37">
        <f>IF(0*Settings!$C$7&gt;=1440,"",MOD(ROUND((Settings!$C$6+0*Settings!$C$7/1440)*1440,0),1440)/1440)</f>
        <v/>
      </c>
      <c r="K9" s="8" t="n"/>
      <c r="L9" s="8" t="n"/>
      <c r="M9" s="8" t="n"/>
      <c r="N9" s="8" t="n"/>
      <c r="P9" s="37">
        <f>IF(0*Settings!$C$7&gt;=1440,"",MOD(ROUND((Settings!$C$6+0*Settings!$C$7/1440)*1440,0),1440)/1440)</f>
        <v/>
      </c>
      <c r="Q9" s="8" t="n"/>
      <c r="R9" s="8" t="n"/>
      <c r="S9" s="8" t="n"/>
      <c r="T9" s="8" t="n"/>
      <c r="V9" s="37">
        <f>IF(0*Settings!$C$7&gt;=1440,"",MOD(ROUND((Settings!$C$6+0*Settings!$C$7/1440)*1440,0),1440)/1440)</f>
        <v/>
      </c>
      <c r="W9" s="8" t="n"/>
      <c r="X9" s="8" t="n"/>
      <c r="Y9" s="8" t="n"/>
      <c r="Z9" s="8" t="n"/>
      <c r="AB9" s="37">
        <f>IF(0*Settings!$C$7&gt;=1440,"",MOD(ROUND((Settings!$C$6+0*Settings!$C$7/1440)*1440,0),1440)/1440)</f>
        <v/>
      </c>
      <c r="AC9" s="8" t="n"/>
      <c r="AD9" s="8" t="n"/>
      <c r="AE9" s="8" t="n"/>
      <c r="AF9" s="8" t="n"/>
      <c r="AH9" s="37">
        <f>IF(0*Settings!$C$7&gt;=1440,"",MOD(ROUND((Settings!$C$6+0*Settings!$C$7/1440)*1440,0),1440)/1440)</f>
        <v/>
      </c>
      <c r="AI9" s="8" t="n"/>
      <c r="AJ9" s="8" t="n"/>
      <c r="AK9" s="8" t="n"/>
      <c r="AL9" s="8" t="n"/>
      <c r="AN9" s="37">
        <f>IF(0*Settings!$C$7&gt;=1440,"",MOD(ROUND((Settings!$C$6+0*Settings!$C$7/1440)*1440,0),1440)/1440)</f>
        <v/>
      </c>
      <c r="AO9" s="8" t="n"/>
      <c r="AP9" s="8" t="n"/>
      <c r="AQ9" s="8" t="n"/>
      <c r="AR9" s="8" t="n"/>
      <c r="AT9" s="37">
        <f>IF(0*Settings!$C$7&gt;=1440,"",MOD(ROUND((Settings!$C$6+0*Settings!$C$7/1440)*1440,0),1440)/1440)</f>
        <v/>
      </c>
      <c r="AU9" s="8" t="n"/>
      <c r="AV9" s="8" t="n"/>
      <c r="AW9" s="8" t="n"/>
      <c r="AX9" s="8" t="n"/>
      <c r="BA9" s="13">
        <f>IF(Settings!$B$40="","",Settings!$B$40)</f>
        <v/>
      </c>
      <c r="BB9" s="14" t="b">
        <v>0</v>
      </c>
      <c r="BC9" s="14" t="b">
        <v>0</v>
      </c>
      <c r="BD9" s="14" t="b">
        <v>0</v>
      </c>
      <c r="BE9" s="14" t="b">
        <v>0</v>
      </c>
      <c r="BF9" s="14" t="b">
        <v>0</v>
      </c>
      <c r="BG9" s="14" t="b">
        <v>0</v>
      </c>
      <c r="BH9" s="14" t="b">
        <v>0</v>
      </c>
      <c r="BI9" s="34">
        <f>IF($BA9="","",COUNTIF(BB9:BH9,TRUE)/7)</f>
        <v/>
      </c>
      <c r="BJ9" s="36">
        <f>IF(BI9="","",REPT("█",ROUND(BI9*10,0))&amp;REPT("░",10-ROUND(BI9*10,0)))</f>
        <v/>
      </c>
    </row>
    <row r="10">
      <c r="B10" s="33">
        <f>Calc!D7</f>
        <v/>
      </c>
      <c r="C10" s="33">
        <f>Calc!E7</f>
        <v/>
      </c>
      <c r="D10" s="33">
        <f>Calc!F7</f>
        <v/>
      </c>
      <c r="E10" s="33">
        <f>Calc!G7</f>
        <v/>
      </c>
      <c r="F10" s="33">
        <f>Calc!H7</f>
        <v/>
      </c>
      <c r="G10" s="33">
        <f>Calc!I7</f>
        <v/>
      </c>
      <c r="H10" s="33">
        <f>Calc!J7</f>
        <v/>
      </c>
      <c r="J10" s="37">
        <f>IF(1*Settings!$C$7&gt;=1440,"",MOD(ROUND((Settings!$C$6+1*Settings!$C$7/1440)*1440,0),1440)/1440)</f>
        <v/>
      </c>
      <c r="K10" s="8" t="n"/>
      <c r="L10" s="8" t="n"/>
      <c r="M10" s="8" t="n"/>
      <c r="N10" s="8" t="n"/>
      <c r="P10" s="37">
        <f>IF(1*Settings!$C$7&gt;=1440,"",MOD(ROUND((Settings!$C$6+1*Settings!$C$7/1440)*1440,0),1440)/1440)</f>
        <v/>
      </c>
      <c r="Q10" s="8" t="n"/>
      <c r="R10" s="8" t="n"/>
      <c r="S10" s="8" t="n"/>
      <c r="T10" s="8" t="n"/>
      <c r="V10" s="37">
        <f>IF(1*Settings!$C$7&gt;=1440,"",MOD(ROUND((Settings!$C$6+1*Settings!$C$7/1440)*1440,0),1440)/1440)</f>
        <v/>
      </c>
      <c r="W10" s="8" t="n"/>
      <c r="X10" s="8" t="n"/>
      <c r="Y10" s="8" t="n"/>
      <c r="Z10" s="8" t="n"/>
      <c r="AB10" s="37">
        <f>IF(1*Settings!$C$7&gt;=1440,"",MOD(ROUND((Settings!$C$6+1*Settings!$C$7/1440)*1440,0),1440)/1440)</f>
        <v/>
      </c>
      <c r="AC10" s="8" t="n"/>
      <c r="AD10" s="8" t="n"/>
      <c r="AE10" s="8" t="n"/>
      <c r="AF10" s="8" t="n"/>
      <c r="AH10" s="37">
        <f>IF(1*Settings!$C$7&gt;=1440,"",MOD(ROUND((Settings!$C$6+1*Settings!$C$7/1440)*1440,0),1440)/1440)</f>
        <v/>
      </c>
      <c r="AI10" s="8" t="n"/>
      <c r="AJ10" s="8" t="n"/>
      <c r="AK10" s="8" t="n"/>
      <c r="AL10" s="8" t="n"/>
      <c r="AN10" s="37">
        <f>IF(1*Settings!$C$7&gt;=1440,"",MOD(ROUND((Settings!$C$6+1*Settings!$C$7/1440)*1440,0),1440)/1440)</f>
        <v/>
      </c>
      <c r="AO10" s="8" t="n"/>
      <c r="AP10" s="8" t="n"/>
      <c r="AQ10" s="8" t="n"/>
      <c r="AR10" s="8" t="n"/>
      <c r="AT10" s="37">
        <f>IF(1*Settings!$C$7&gt;=1440,"",MOD(ROUND((Settings!$C$6+1*Settings!$C$7/1440)*1440,0),1440)/1440)</f>
        <v/>
      </c>
      <c r="AU10" s="8" t="n"/>
      <c r="AV10" s="8" t="n"/>
      <c r="AW10" s="8" t="n"/>
      <c r="AX10" s="8" t="n"/>
      <c r="BA10" s="13">
        <f>IF(Settings!$B$41="","",Settings!$B$41)</f>
        <v/>
      </c>
      <c r="BB10" s="14" t="b">
        <v>0</v>
      </c>
      <c r="BC10" s="14" t="b">
        <v>0</v>
      </c>
      <c r="BD10" s="14" t="b">
        <v>0</v>
      </c>
      <c r="BE10" s="14" t="b">
        <v>0</v>
      </c>
      <c r="BF10" s="14" t="b">
        <v>0</v>
      </c>
      <c r="BG10" s="14" t="b">
        <v>0</v>
      </c>
      <c r="BH10" s="14" t="b">
        <v>0</v>
      </c>
      <c r="BI10" s="34">
        <f>IF($BA10="","",COUNTIF(BB10:BH10,TRUE)/7)</f>
        <v/>
      </c>
      <c r="BJ10" s="36">
        <f>IF(BI10="","",REPT("█",ROUND(BI10*10,0))&amp;REPT("░",10-ROUND(BI10*10,0)))</f>
        <v/>
      </c>
    </row>
    <row r="11">
      <c r="B11" s="33">
        <f>Calc!D8</f>
        <v/>
      </c>
      <c r="C11" s="33">
        <f>Calc!E8</f>
        <v/>
      </c>
      <c r="D11" s="33">
        <f>Calc!F8</f>
        <v/>
      </c>
      <c r="E11" s="33">
        <f>Calc!G8</f>
        <v/>
      </c>
      <c r="F11" s="33">
        <f>Calc!H8</f>
        <v/>
      </c>
      <c r="G11" s="33">
        <f>Calc!I8</f>
        <v/>
      </c>
      <c r="H11" s="33">
        <f>Calc!J8</f>
        <v/>
      </c>
      <c r="J11" s="37">
        <f>IF(2*Settings!$C$7&gt;=1440,"",MOD(ROUND((Settings!$C$6+2*Settings!$C$7/1440)*1440,0),1440)/1440)</f>
        <v/>
      </c>
      <c r="K11" s="8" t="n"/>
      <c r="L11" s="8" t="n"/>
      <c r="M11" s="8" t="n"/>
      <c r="N11" s="8" t="n"/>
      <c r="P11" s="37">
        <f>IF(2*Settings!$C$7&gt;=1440,"",MOD(ROUND((Settings!$C$6+2*Settings!$C$7/1440)*1440,0),1440)/1440)</f>
        <v/>
      </c>
      <c r="Q11" s="8" t="n"/>
      <c r="R11" s="8" t="n"/>
      <c r="S11" s="8" t="n"/>
      <c r="T11" s="8" t="n"/>
      <c r="V11" s="37">
        <f>IF(2*Settings!$C$7&gt;=1440,"",MOD(ROUND((Settings!$C$6+2*Settings!$C$7/1440)*1440,0),1440)/1440)</f>
        <v/>
      </c>
      <c r="W11" s="8" t="n"/>
      <c r="X11" s="8" t="n"/>
      <c r="Y11" s="8" t="n"/>
      <c r="Z11" s="8" t="n"/>
      <c r="AB11" s="37">
        <f>IF(2*Settings!$C$7&gt;=1440,"",MOD(ROUND((Settings!$C$6+2*Settings!$C$7/1440)*1440,0),1440)/1440)</f>
        <v/>
      </c>
      <c r="AC11" s="8" t="n"/>
      <c r="AD11" s="8" t="n"/>
      <c r="AE11" s="8" t="n"/>
      <c r="AF11" s="8" t="n"/>
      <c r="AH11" s="37">
        <f>IF(2*Settings!$C$7&gt;=1440,"",MOD(ROUND((Settings!$C$6+2*Settings!$C$7/1440)*1440,0),1440)/1440)</f>
        <v/>
      </c>
      <c r="AI11" s="8" t="n"/>
      <c r="AJ11" s="8" t="n"/>
      <c r="AK11" s="8" t="n"/>
      <c r="AL11" s="8" t="n"/>
      <c r="AN11" s="37">
        <f>IF(2*Settings!$C$7&gt;=1440,"",MOD(ROUND((Settings!$C$6+2*Settings!$C$7/1440)*1440,0),1440)/1440)</f>
        <v/>
      </c>
      <c r="AO11" s="8" t="n"/>
      <c r="AP11" s="8" t="n"/>
      <c r="AQ11" s="8" t="n"/>
      <c r="AR11" s="8" t="n"/>
      <c r="AT11" s="37">
        <f>IF(2*Settings!$C$7&gt;=1440,"",MOD(ROUND((Settings!$C$6+2*Settings!$C$7/1440)*1440,0),1440)/1440)</f>
        <v/>
      </c>
      <c r="AU11" s="8" t="n"/>
      <c r="AV11" s="8" t="n"/>
      <c r="AW11" s="8" t="n"/>
      <c r="AX11" s="8" t="n"/>
      <c r="BA11" s="13">
        <f>IF(Settings!$B$42="","",Settings!$B$42)</f>
        <v/>
      </c>
      <c r="BB11" s="14" t="b">
        <v>0</v>
      </c>
      <c r="BC11" s="14" t="b">
        <v>0</v>
      </c>
      <c r="BD11" s="14" t="b">
        <v>0</v>
      </c>
      <c r="BE11" s="14" t="b">
        <v>0</v>
      </c>
      <c r="BF11" s="14" t="b">
        <v>0</v>
      </c>
      <c r="BG11" s="14" t="b">
        <v>0</v>
      </c>
      <c r="BH11" s="14" t="b">
        <v>0</v>
      </c>
      <c r="BI11" s="34">
        <f>IF($BA11="","",COUNTIF(BB11:BH11,TRUE)/7)</f>
        <v/>
      </c>
      <c r="BJ11" s="36">
        <f>IF(BI11="","",REPT("█",ROUND(BI11*10,0))&amp;REPT("░",10-ROUND(BI11*10,0)))</f>
        <v/>
      </c>
    </row>
    <row r="12">
      <c r="J12" s="37">
        <f>IF(3*Settings!$C$7&gt;=1440,"",MOD(ROUND((Settings!$C$6+3*Settings!$C$7/1440)*1440,0),1440)/1440)</f>
        <v/>
      </c>
      <c r="K12" s="8" t="n"/>
      <c r="L12" s="8" t="n"/>
      <c r="M12" s="8" t="n"/>
      <c r="N12" s="8" t="n"/>
      <c r="P12" s="37">
        <f>IF(3*Settings!$C$7&gt;=1440,"",MOD(ROUND((Settings!$C$6+3*Settings!$C$7/1440)*1440,0),1440)/1440)</f>
        <v/>
      </c>
      <c r="Q12" s="8" t="n"/>
      <c r="R12" s="8" t="n"/>
      <c r="S12" s="8" t="n"/>
      <c r="T12" s="8" t="n"/>
      <c r="V12" s="37">
        <f>IF(3*Settings!$C$7&gt;=1440,"",MOD(ROUND((Settings!$C$6+3*Settings!$C$7/1440)*1440,0),1440)/1440)</f>
        <v/>
      </c>
      <c r="W12" s="8" t="n"/>
      <c r="X12" s="8" t="n"/>
      <c r="Y12" s="8" t="n"/>
      <c r="Z12" s="8" t="n"/>
      <c r="AB12" s="37">
        <f>IF(3*Settings!$C$7&gt;=1440,"",MOD(ROUND((Settings!$C$6+3*Settings!$C$7/1440)*1440,0),1440)/1440)</f>
        <v/>
      </c>
      <c r="AC12" s="8" t="n"/>
      <c r="AD12" s="8" t="n"/>
      <c r="AE12" s="8" t="n"/>
      <c r="AF12" s="8" t="n"/>
      <c r="AH12" s="37">
        <f>IF(3*Settings!$C$7&gt;=1440,"",MOD(ROUND((Settings!$C$6+3*Settings!$C$7/1440)*1440,0),1440)/1440)</f>
        <v/>
      </c>
      <c r="AI12" s="8" t="n"/>
      <c r="AJ12" s="8" t="n"/>
      <c r="AK12" s="8" t="n"/>
      <c r="AL12" s="8" t="n"/>
      <c r="AN12" s="37">
        <f>IF(3*Settings!$C$7&gt;=1440,"",MOD(ROUND((Settings!$C$6+3*Settings!$C$7/1440)*1440,0),1440)/1440)</f>
        <v/>
      </c>
      <c r="AO12" s="8" t="n"/>
      <c r="AP12" s="8" t="n"/>
      <c r="AQ12" s="8" t="n"/>
      <c r="AR12" s="8" t="n"/>
      <c r="AT12" s="37">
        <f>IF(3*Settings!$C$7&gt;=1440,"",MOD(ROUND((Settings!$C$6+3*Settings!$C$7/1440)*1440,0),1440)/1440)</f>
        <v/>
      </c>
      <c r="AU12" s="8" t="n"/>
      <c r="AV12" s="8" t="n"/>
      <c r="AW12" s="8" t="n"/>
      <c r="AX12" s="8" t="n"/>
      <c r="BA12" s="13">
        <f>IF(Settings!$B$43="","",Settings!$B$43)</f>
        <v/>
      </c>
      <c r="BB12" s="14" t="b">
        <v>0</v>
      </c>
      <c r="BC12" s="14" t="b">
        <v>0</v>
      </c>
      <c r="BD12" s="14" t="b">
        <v>0</v>
      </c>
      <c r="BE12" s="14" t="b">
        <v>0</v>
      </c>
      <c r="BF12" s="14" t="b">
        <v>0</v>
      </c>
      <c r="BG12" s="14" t="b">
        <v>0</v>
      </c>
      <c r="BH12" s="14" t="b">
        <v>0</v>
      </c>
      <c r="BI12" s="34">
        <f>IF($BA12="","",COUNTIF(BB12:BH12,TRUE)/7)</f>
        <v/>
      </c>
      <c r="BJ12" s="36">
        <f>IF(BI12="","",REPT("█",ROUND(BI12*10,0))&amp;REPT("░",10-ROUND(BI12*10,0)))</f>
        <v/>
      </c>
    </row>
    <row r="13">
      <c r="J13" s="37">
        <f>IF(4*Settings!$C$7&gt;=1440,"",MOD(ROUND((Settings!$C$6+4*Settings!$C$7/1440)*1440,0),1440)/1440)</f>
        <v/>
      </c>
      <c r="K13" s="8" t="n"/>
      <c r="L13" s="8" t="n"/>
      <c r="M13" s="8" t="n"/>
      <c r="N13" s="8" t="n"/>
      <c r="P13" s="37">
        <f>IF(4*Settings!$C$7&gt;=1440,"",MOD(ROUND((Settings!$C$6+4*Settings!$C$7/1440)*1440,0),1440)/1440)</f>
        <v/>
      </c>
      <c r="Q13" s="8" t="n"/>
      <c r="R13" s="8" t="n"/>
      <c r="S13" s="8" t="n"/>
      <c r="T13" s="8" t="n"/>
      <c r="V13" s="37">
        <f>IF(4*Settings!$C$7&gt;=1440,"",MOD(ROUND((Settings!$C$6+4*Settings!$C$7/1440)*1440,0),1440)/1440)</f>
        <v/>
      </c>
      <c r="W13" s="8" t="n"/>
      <c r="X13" s="8" t="n"/>
      <c r="Y13" s="8" t="n"/>
      <c r="Z13" s="8" t="n"/>
      <c r="AB13" s="37">
        <f>IF(4*Settings!$C$7&gt;=1440,"",MOD(ROUND((Settings!$C$6+4*Settings!$C$7/1440)*1440,0),1440)/1440)</f>
        <v/>
      </c>
      <c r="AC13" s="8" t="n"/>
      <c r="AD13" s="8" t="n"/>
      <c r="AE13" s="8" t="n"/>
      <c r="AF13" s="8" t="n"/>
      <c r="AH13" s="37">
        <f>IF(4*Settings!$C$7&gt;=1440,"",MOD(ROUND((Settings!$C$6+4*Settings!$C$7/1440)*1440,0),1440)/1440)</f>
        <v/>
      </c>
      <c r="AI13" s="8" t="n"/>
      <c r="AJ13" s="8" t="n"/>
      <c r="AK13" s="8" t="n"/>
      <c r="AL13" s="8" t="n"/>
      <c r="AN13" s="37">
        <f>IF(4*Settings!$C$7&gt;=1440,"",MOD(ROUND((Settings!$C$6+4*Settings!$C$7/1440)*1440,0),1440)/1440)</f>
        <v/>
      </c>
      <c r="AO13" s="8" t="n"/>
      <c r="AP13" s="8" t="n"/>
      <c r="AQ13" s="8" t="n"/>
      <c r="AR13" s="8" t="n"/>
      <c r="AT13" s="37">
        <f>IF(4*Settings!$C$7&gt;=1440,"",MOD(ROUND((Settings!$C$6+4*Settings!$C$7/1440)*1440,0),1440)/1440)</f>
        <v/>
      </c>
      <c r="AU13" s="8" t="n"/>
      <c r="AV13" s="8" t="n"/>
      <c r="AW13" s="8" t="n"/>
      <c r="AX13" s="8" t="n"/>
      <c r="BA13" s="13">
        <f>IF(Settings!$B$44="","",Settings!$B$44)</f>
        <v/>
      </c>
      <c r="BB13" s="14" t="b">
        <v>0</v>
      </c>
      <c r="BC13" s="14" t="b">
        <v>0</v>
      </c>
      <c r="BD13" s="14" t="b">
        <v>0</v>
      </c>
      <c r="BE13" s="14" t="b">
        <v>0</v>
      </c>
      <c r="BF13" s="14" t="b">
        <v>0</v>
      </c>
      <c r="BG13" s="14" t="b">
        <v>0</v>
      </c>
      <c r="BH13" s="14" t="b">
        <v>0</v>
      </c>
      <c r="BI13" s="34">
        <f>IF($BA13="","",COUNTIF(BB13:BH13,TRUE)/7)</f>
        <v/>
      </c>
      <c r="BJ13" s="36">
        <f>IF(BI13="","",REPT("█",ROUND(BI13*10,0))&amp;REPT("░",10-ROUND(BI13*10,0)))</f>
        <v/>
      </c>
    </row>
    <row r="14">
      <c r="B14" s="6">
        <f>IF(Settings!$C$102="",Settings!$B$102,Settings!$C$102)</f>
        <v/>
      </c>
      <c r="C14" s="6" t="n"/>
      <c r="D14" s="6" t="n"/>
      <c r="E14" s="6" t="n"/>
      <c r="F14" s="6" t="n"/>
      <c r="G14" s="6" t="n"/>
      <c r="H14" s="21">
        <f>IFERROR(SUMPRODUCT((C15:C19&lt;&gt;"")*(B15:B19=TRUE))/SUMPRODUCT((C15:C19&lt;&gt;"")*1),0)</f>
        <v/>
      </c>
      <c r="J14" s="37">
        <f>IF(5*Settings!$C$7&gt;=1440,"",MOD(ROUND((Settings!$C$6+5*Settings!$C$7/1440)*1440,0),1440)/1440)</f>
        <v/>
      </c>
      <c r="K14" s="8" t="n"/>
      <c r="L14" s="8" t="n"/>
      <c r="M14" s="8" t="n"/>
      <c r="N14" s="8" t="n"/>
      <c r="P14" s="37">
        <f>IF(5*Settings!$C$7&gt;=1440,"",MOD(ROUND((Settings!$C$6+5*Settings!$C$7/1440)*1440,0),1440)/1440)</f>
        <v/>
      </c>
      <c r="Q14" s="8" t="n"/>
      <c r="R14" s="8" t="n"/>
      <c r="S14" s="8" t="n"/>
      <c r="T14" s="8" t="n"/>
      <c r="V14" s="37">
        <f>IF(5*Settings!$C$7&gt;=1440,"",MOD(ROUND((Settings!$C$6+5*Settings!$C$7/1440)*1440,0),1440)/1440)</f>
        <v/>
      </c>
      <c r="W14" s="8" t="n"/>
      <c r="X14" s="8" t="n"/>
      <c r="Y14" s="8" t="n"/>
      <c r="Z14" s="8" t="n"/>
      <c r="AB14" s="37">
        <f>IF(5*Settings!$C$7&gt;=1440,"",MOD(ROUND((Settings!$C$6+5*Settings!$C$7/1440)*1440,0),1440)/1440)</f>
        <v/>
      </c>
      <c r="AC14" s="8" t="n"/>
      <c r="AD14" s="8" t="n"/>
      <c r="AE14" s="8" t="n"/>
      <c r="AF14" s="8" t="n"/>
      <c r="AH14" s="37">
        <f>IF(5*Settings!$C$7&gt;=1440,"",MOD(ROUND((Settings!$C$6+5*Settings!$C$7/1440)*1440,0),1440)/1440)</f>
        <v/>
      </c>
      <c r="AI14" s="8" t="n"/>
      <c r="AJ14" s="8" t="n"/>
      <c r="AK14" s="8" t="n"/>
      <c r="AL14" s="8" t="n"/>
      <c r="AN14" s="37">
        <f>IF(5*Settings!$C$7&gt;=1440,"",MOD(ROUND((Settings!$C$6+5*Settings!$C$7/1440)*1440,0),1440)/1440)</f>
        <v/>
      </c>
      <c r="AO14" s="8" t="n"/>
      <c r="AP14" s="8" t="n"/>
      <c r="AQ14" s="8" t="n"/>
      <c r="AR14" s="8" t="n"/>
      <c r="AT14" s="37">
        <f>IF(5*Settings!$C$7&gt;=1440,"",MOD(ROUND((Settings!$C$6+5*Settings!$C$7/1440)*1440,0),1440)/1440)</f>
        <v/>
      </c>
      <c r="AU14" s="8" t="n"/>
      <c r="AV14" s="8" t="n"/>
      <c r="AW14" s="8" t="n"/>
      <c r="AX14" s="8" t="n"/>
      <c r="BA14" s="13">
        <f>IF(Settings!$B$45="","",Settings!$B$45)</f>
        <v/>
      </c>
      <c r="BB14" s="14" t="b">
        <v>0</v>
      </c>
      <c r="BC14" s="14" t="b">
        <v>0</v>
      </c>
      <c r="BD14" s="14" t="b">
        <v>0</v>
      </c>
      <c r="BE14" s="14" t="b">
        <v>0</v>
      </c>
      <c r="BF14" s="14" t="b">
        <v>0</v>
      </c>
      <c r="BG14" s="14" t="b">
        <v>0</v>
      </c>
      <c r="BH14" s="14" t="b">
        <v>0</v>
      </c>
      <c r="BI14" s="34">
        <f>IF($BA14="","",COUNTIF(BB14:BH14,TRUE)/7)</f>
        <v/>
      </c>
      <c r="BJ14" s="36">
        <f>IF(BI14="","",REPT("█",ROUND(BI14*10,0))&amp;REPT("░",10-ROUND(BI14*10,0)))</f>
        <v/>
      </c>
    </row>
    <row r="15">
      <c r="B15" s="14" t="b">
        <v>0</v>
      </c>
      <c r="C15" s="8" t="n"/>
      <c r="D15" s="8" t="n"/>
      <c r="E15" s="8" t="n"/>
      <c r="F15" s="8" t="n"/>
      <c r="G15" s="8" t="n"/>
      <c r="H15" s="8" t="n"/>
      <c r="J15" s="37">
        <f>IF(6*Settings!$C$7&gt;=1440,"",MOD(ROUND((Settings!$C$6+6*Settings!$C$7/1440)*1440,0),1440)/1440)</f>
        <v/>
      </c>
      <c r="K15" s="8" t="n"/>
      <c r="L15" s="8" t="n"/>
      <c r="M15" s="8" t="n"/>
      <c r="N15" s="8" t="n"/>
      <c r="P15" s="37">
        <f>IF(6*Settings!$C$7&gt;=1440,"",MOD(ROUND((Settings!$C$6+6*Settings!$C$7/1440)*1440,0),1440)/1440)</f>
        <v/>
      </c>
      <c r="Q15" s="8" t="n"/>
      <c r="R15" s="8" t="n"/>
      <c r="S15" s="8" t="n"/>
      <c r="T15" s="8" t="n"/>
      <c r="V15" s="37">
        <f>IF(6*Settings!$C$7&gt;=1440,"",MOD(ROUND((Settings!$C$6+6*Settings!$C$7/1440)*1440,0),1440)/1440)</f>
        <v/>
      </c>
      <c r="W15" s="8" t="n"/>
      <c r="X15" s="8" t="n"/>
      <c r="Y15" s="8" t="n"/>
      <c r="Z15" s="8" t="n"/>
      <c r="AB15" s="37">
        <f>IF(6*Settings!$C$7&gt;=1440,"",MOD(ROUND((Settings!$C$6+6*Settings!$C$7/1440)*1440,0),1440)/1440)</f>
        <v/>
      </c>
      <c r="AC15" s="8" t="n"/>
      <c r="AD15" s="8" t="n"/>
      <c r="AE15" s="8" t="n"/>
      <c r="AF15" s="8" t="n"/>
      <c r="AH15" s="37">
        <f>IF(6*Settings!$C$7&gt;=1440,"",MOD(ROUND((Settings!$C$6+6*Settings!$C$7/1440)*1440,0),1440)/1440)</f>
        <v/>
      </c>
      <c r="AI15" s="8" t="n"/>
      <c r="AJ15" s="8" t="n"/>
      <c r="AK15" s="8" t="n"/>
      <c r="AL15" s="8" t="n"/>
      <c r="AN15" s="37">
        <f>IF(6*Settings!$C$7&gt;=1440,"",MOD(ROUND((Settings!$C$6+6*Settings!$C$7/1440)*1440,0),1440)/1440)</f>
        <v/>
      </c>
      <c r="AO15" s="8" t="n"/>
      <c r="AP15" s="8" t="n"/>
      <c r="AQ15" s="8" t="n"/>
      <c r="AR15" s="8" t="n"/>
      <c r="AT15" s="37">
        <f>IF(6*Settings!$C$7&gt;=1440,"",MOD(ROUND((Settings!$C$6+6*Settings!$C$7/1440)*1440,0),1440)/1440)</f>
        <v/>
      </c>
      <c r="AU15" s="8" t="n"/>
      <c r="AV15" s="8" t="n"/>
      <c r="AW15" s="8" t="n"/>
      <c r="AX15" s="8" t="n"/>
      <c r="BA15" s="13">
        <f>IF(Settings!$B$46="","",Settings!$B$46)</f>
        <v/>
      </c>
      <c r="BB15" s="14" t="b">
        <v>0</v>
      </c>
      <c r="BC15" s="14" t="b">
        <v>0</v>
      </c>
      <c r="BD15" s="14" t="b">
        <v>0</v>
      </c>
      <c r="BE15" s="14" t="b">
        <v>0</v>
      </c>
      <c r="BF15" s="14" t="b">
        <v>0</v>
      </c>
      <c r="BG15" s="14" t="b">
        <v>0</v>
      </c>
      <c r="BH15" s="14" t="b">
        <v>0</v>
      </c>
      <c r="BI15" s="34">
        <f>IF($BA15="","",COUNTIF(BB15:BH15,TRUE)/7)</f>
        <v/>
      </c>
      <c r="BJ15" s="36">
        <f>IF(BI15="","",REPT("█",ROUND(BI15*10,0))&amp;REPT("░",10-ROUND(BI15*10,0)))</f>
        <v/>
      </c>
    </row>
    <row r="16">
      <c r="B16" s="14" t="b">
        <v>0</v>
      </c>
      <c r="C16" s="8" t="n"/>
      <c r="D16" s="8" t="n"/>
      <c r="E16" s="8" t="n"/>
      <c r="F16" s="8" t="n"/>
      <c r="G16" s="8" t="n"/>
      <c r="H16" s="8" t="n"/>
      <c r="J16" s="37">
        <f>IF(7*Settings!$C$7&gt;=1440,"",MOD(ROUND((Settings!$C$6+7*Settings!$C$7/1440)*1440,0),1440)/1440)</f>
        <v/>
      </c>
      <c r="K16" s="8" t="n"/>
      <c r="L16" s="8" t="n"/>
      <c r="M16" s="8" t="n"/>
      <c r="N16" s="8" t="n"/>
      <c r="P16" s="37">
        <f>IF(7*Settings!$C$7&gt;=1440,"",MOD(ROUND((Settings!$C$6+7*Settings!$C$7/1440)*1440,0),1440)/1440)</f>
        <v/>
      </c>
      <c r="Q16" s="8" t="n"/>
      <c r="R16" s="8" t="n"/>
      <c r="S16" s="8" t="n"/>
      <c r="T16" s="8" t="n"/>
      <c r="V16" s="37">
        <f>IF(7*Settings!$C$7&gt;=1440,"",MOD(ROUND((Settings!$C$6+7*Settings!$C$7/1440)*1440,0),1440)/1440)</f>
        <v/>
      </c>
      <c r="W16" s="8" t="n"/>
      <c r="X16" s="8" t="n"/>
      <c r="Y16" s="8" t="n"/>
      <c r="Z16" s="8" t="n"/>
      <c r="AB16" s="37">
        <f>IF(7*Settings!$C$7&gt;=1440,"",MOD(ROUND((Settings!$C$6+7*Settings!$C$7/1440)*1440,0),1440)/1440)</f>
        <v/>
      </c>
      <c r="AC16" s="8" t="n"/>
      <c r="AD16" s="8" t="n"/>
      <c r="AE16" s="8" t="n"/>
      <c r="AF16" s="8" t="n"/>
      <c r="AH16" s="37">
        <f>IF(7*Settings!$C$7&gt;=1440,"",MOD(ROUND((Settings!$C$6+7*Settings!$C$7/1440)*1440,0),1440)/1440)</f>
        <v/>
      </c>
      <c r="AI16" s="8" t="n"/>
      <c r="AJ16" s="8" t="n"/>
      <c r="AK16" s="8" t="n"/>
      <c r="AL16" s="8" t="n"/>
      <c r="AN16" s="37">
        <f>IF(7*Settings!$C$7&gt;=1440,"",MOD(ROUND((Settings!$C$6+7*Settings!$C$7/1440)*1440,0),1440)/1440)</f>
        <v/>
      </c>
      <c r="AO16" s="8" t="n"/>
      <c r="AP16" s="8" t="n"/>
      <c r="AQ16" s="8" t="n"/>
      <c r="AR16" s="8" t="n"/>
      <c r="AT16" s="37">
        <f>IF(7*Settings!$C$7&gt;=1440,"",MOD(ROUND((Settings!$C$6+7*Settings!$C$7/1440)*1440,0),1440)/1440)</f>
        <v/>
      </c>
      <c r="AU16" s="8" t="n"/>
      <c r="AV16" s="8" t="n"/>
      <c r="AW16" s="8" t="n"/>
      <c r="AX16" s="8" t="n"/>
      <c r="BA16" s="13">
        <f>IF(Settings!$B$47="","",Settings!$B$47)</f>
        <v/>
      </c>
      <c r="BB16" s="14" t="b">
        <v>0</v>
      </c>
      <c r="BC16" s="14" t="b">
        <v>0</v>
      </c>
      <c r="BD16" s="14" t="b">
        <v>0</v>
      </c>
      <c r="BE16" s="14" t="b">
        <v>0</v>
      </c>
      <c r="BF16" s="14" t="b">
        <v>0</v>
      </c>
      <c r="BG16" s="14" t="b">
        <v>0</v>
      </c>
      <c r="BH16" s="14" t="b">
        <v>0</v>
      </c>
      <c r="BI16" s="34">
        <f>IF($BA16="","",COUNTIF(BB16:BH16,TRUE)/7)</f>
        <v/>
      </c>
      <c r="BJ16" s="36">
        <f>IF(BI16="","",REPT("█",ROUND(BI16*10,0))&amp;REPT("░",10-ROUND(BI16*10,0)))</f>
        <v/>
      </c>
    </row>
    <row r="17">
      <c r="B17" s="14" t="b">
        <v>0</v>
      </c>
      <c r="C17" s="8" t="n"/>
      <c r="D17" s="8" t="n"/>
      <c r="E17" s="8" t="n"/>
      <c r="F17" s="8" t="n"/>
      <c r="G17" s="8" t="n"/>
      <c r="H17" s="8" t="n"/>
      <c r="J17" s="37">
        <f>IF(8*Settings!$C$7&gt;=1440,"",MOD(ROUND((Settings!$C$6+8*Settings!$C$7/1440)*1440,0),1440)/1440)</f>
        <v/>
      </c>
      <c r="K17" s="8" t="n"/>
      <c r="L17" s="8" t="n"/>
      <c r="M17" s="8" t="n"/>
      <c r="N17" s="8" t="n"/>
      <c r="P17" s="37">
        <f>IF(8*Settings!$C$7&gt;=1440,"",MOD(ROUND((Settings!$C$6+8*Settings!$C$7/1440)*1440,0),1440)/1440)</f>
        <v/>
      </c>
      <c r="Q17" s="8" t="n"/>
      <c r="R17" s="8" t="n"/>
      <c r="S17" s="8" t="n"/>
      <c r="T17" s="8" t="n"/>
      <c r="V17" s="37">
        <f>IF(8*Settings!$C$7&gt;=1440,"",MOD(ROUND((Settings!$C$6+8*Settings!$C$7/1440)*1440,0),1440)/1440)</f>
        <v/>
      </c>
      <c r="W17" s="8" t="n"/>
      <c r="X17" s="8" t="n"/>
      <c r="Y17" s="8" t="n"/>
      <c r="Z17" s="8" t="n"/>
      <c r="AB17" s="37">
        <f>IF(8*Settings!$C$7&gt;=1440,"",MOD(ROUND((Settings!$C$6+8*Settings!$C$7/1440)*1440,0),1440)/1440)</f>
        <v/>
      </c>
      <c r="AC17" s="8" t="n"/>
      <c r="AD17" s="8" t="n"/>
      <c r="AE17" s="8" t="n"/>
      <c r="AF17" s="8" t="n"/>
      <c r="AH17" s="37">
        <f>IF(8*Settings!$C$7&gt;=1440,"",MOD(ROUND((Settings!$C$6+8*Settings!$C$7/1440)*1440,0),1440)/1440)</f>
        <v/>
      </c>
      <c r="AI17" s="8" t="n"/>
      <c r="AJ17" s="8" t="n"/>
      <c r="AK17" s="8" t="n"/>
      <c r="AL17" s="8" t="n"/>
      <c r="AN17" s="37">
        <f>IF(8*Settings!$C$7&gt;=1440,"",MOD(ROUND((Settings!$C$6+8*Settings!$C$7/1440)*1440,0),1440)/1440)</f>
        <v/>
      </c>
      <c r="AO17" s="8" t="n"/>
      <c r="AP17" s="8" t="n"/>
      <c r="AQ17" s="8" t="n"/>
      <c r="AR17" s="8" t="n"/>
      <c r="AT17" s="37">
        <f>IF(8*Settings!$C$7&gt;=1440,"",MOD(ROUND((Settings!$C$6+8*Settings!$C$7/1440)*1440,0),1440)/1440)</f>
        <v/>
      </c>
      <c r="AU17" s="8" t="n"/>
      <c r="AV17" s="8" t="n"/>
      <c r="AW17" s="8" t="n"/>
      <c r="AX17" s="8" t="n"/>
      <c r="BA17" s="13">
        <f>IF(Settings!$B$48="","",Settings!$B$48)</f>
        <v/>
      </c>
      <c r="BB17" s="14" t="b">
        <v>0</v>
      </c>
      <c r="BC17" s="14" t="b">
        <v>0</v>
      </c>
      <c r="BD17" s="14" t="b">
        <v>0</v>
      </c>
      <c r="BE17" s="14" t="b">
        <v>0</v>
      </c>
      <c r="BF17" s="14" t="b">
        <v>0</v>
      </c>
      <c r="BG17" s="14" t="b">
        <v>0</v>
      </c>
      <c r="BH17" s="14" t="b">
        <v>0</v>
      </c>
      <c r="BI17" s="34">
        <f>IF($BA17="","",COUNTIF(BB17:BH17,TRUE)/7)</f>
        <v/>
      </c>
      <c r="BJ17" s="36">
        <f>IF(BI17="","",REPT("█",ROUND(BI17*10,0))&amp;REPT("░",10-ROUND(BI17*10,0)))</f>
        <v/>
      </c>
    </row>
    <row r="18">
      <c r="B18" s="14" t="b">
        <v>0</v>
      </c>
      <c r="C18" s="8" t="n"/>
      <c r="D18" s="8" t="n"/>
      <c r="E18" s="8" t="n"/>
      <c r="F18" s="8" t="n"/>
      <c r="G18" s="8" t="n"/>
      <c r="H18" s="8" t="n"/>
      <c r="J18" s="37">
        <f>IF(9*Settings!$C$7&gt;=1440,"",MOD(ROUND((Settings!$C$6+9*Settings!$C$7/1440)*1440,0),1440)/1440)</f>
        <v/>
      </c>
      <c r="K18" s="8" t="n"/>
      <c r="L18" s="8" t="n"/>
      <c r="M18" s="8" t="n"/>
      <c r="N18" s="8" t="n"/>
      <c r="P18" s="37">
        <f>IF(9*Settings!$C$7&gt;=1440,"",MOD(ROUND((Settings!$C$6+9*Settings!$C$7/1440)*1440,0),1440)/1440)</f>
        <v/>
      </c>
      <c r="Q18" s="8" t="n"/>
      <c r="R18" s="8" t="n"/>
      <c r="S18" s="8" t="n"/>
      <c r="T18" s="8" t="n"/>
      <c r="V18" s="37">
        <f>IF(9*Settings!$C$7&gt;=1440,"",MOD(ROUND((Settings!$C$6+9*Settings!$C$7/1440)*1440,0),1440)/1440)</f>
        <v/>
      </c>
      <c r="W18" s="8" t="n"/>
      <c r="X18" s="8" t="n"/>
      <c r="Y18" s="8" t="n"/>
      <c r="Z18" s="8" t="n"/>
      <c r="AB18" s="37">
        <f>IF(9*Settings!$C$7&gt;=1440,"",MOD(ROUND((Settings!$C$6+9*Settings!$C$7/1440)*1440,0),1440)/1440)</f>
        <v/>
      </c>
      <c r="AC18" s="8" t="n"/>
      <c r="AD18" s="8" t="n"/>
      <c r="AE18" s="8" t="n"/>
      <c r="AF18" s="8" t="n"/>
      <c r="AH18" s="37">
        <f>IF(9*Settings!$C$7&gt;=1440,"",MOD(ROUND((Settings!$C$6+9*Settings!$C$7/1440)*1440,0),1440)/1440)</f>
        <v/>
      </c>
      <c r="AI18" s="8" t="n"/>
      <c r="AJ18" s="8" t="n"/>
      <c r="AK18" s="8" t="n"/>
      <c r="AL18" s="8" t="n"/>
      <c r="AN18" s="37">
        <f>IF(9*Settings!$C$7&gt;=1440,"",MOD(ROUND((Settings!$C$6+9*Settings!$C$7/1440)*1440,0),1440)/1440)</f>
        <v/>
      </c>
      <c r="AO18" s="8" t="n"/>
      <c r="AP18" s="8" t="n"/>
      <c r="AQ18" s="8" t="n"/>
      <c r="AR18" s="8" t="n"/>
      <c r="AT18" s="37">
        <f>IF(9*Settings!$C$7&gt;=1440,"",MOD(ROUND((Settings!$C$6+9*Settings!$C$7/1440)*1440,0),1440)/1440)</f>
        <v/>
      </c>
      <c r="AU18" s="8" t="n"/>
      <c r="AV18" s="8" t="n"/>
      <c r="AW18" s="8" t="n"/>
      <c r="AX18" s="8" t="n"/>
      <c r="BA18" s="13">
        <f>IF(Settings!$B$49="","",Settings!$B$49)</f>
        <v/>
      </c>
      <c r="BB18" s="14" t="b">
        <v>0</v>
      </c>
      <c r="BC18" s="14" t="b">
        <v>0</v>
      </c>
      <c r="BD18" s="14" t="b">
        <v>0</v>
      </c>
      <c r="BE18" s="14" t="b">
        <v>0</v>
      </c>
      <c r="BF18" s="14" t="b">
        <v>0</v>
      </c>
      <c r="BG18" s="14" t="b">
        <v>0</v>
      </c>
      <c r="BH18" s="14" t="b">
        <v>0</v>
      </c>
      <c r="BI18" s="34">
        <f>IF($BA18="","",COUNTIF(BB18:BH18,TRUE)/7)</f>
        <v/>
      </c>
      <c r="BJ18" s="36">
        <f>IF(BI18="","",REPT("█",ROUND(BI18*10,0))&amp;REPT("░",10-ROUND(BI18*10,0)))</f>
        <v/>
      </c>
    </row>
    <row r="19">
      <c r="B19" s="14" t="b">
        <v>0</v>
      </c>
      <c r="C19" s="8" t="n"/>
      <c r="D19" s="8" t="n"/>
      <c r="E19" s="8" t="n"/>
      <c r="F19" s="8" t="n"/>
      <c r="G19" s="8" t="n"/>
      <c r="H19" s="8" t="n"/>
      <c r="J19" s="37">
        <f>IF(10*Settings!$C$7&gt;=1440,"",MOD(ROUND((Settings!$C$6+10*Settings!$C$7/1440)*1440,0),1440)/1440)</f>
        <v/>
      </c>
      <c r="K19" s="8" t="n"/>
      <c r="L19" s="8" t="n"/>
      <c r="M19" s="8" t="n"/>
      <c r="N19" s="8" t="n"/>
      <c r="P19" s="37">
        <f>IF(10*Settings!$C$7&gt;=1440,"",MOD(ROUND((Settings!$C$6+10*Settings!$C$7/1440)*1440,0),1440)/1440)</f>
        <v/>
      </c>
      <c r="Q19" s="8" t="n"/>
      <c r="R19" s="8" t="n"/>
      <c r="S19" s="8" t="n"/>
      <c r="T19" s="8" t="n"/>
      <c r="V19" s="37">
        <f>IF(10*Settings!$C$7&gt;=1440,"",MOD(ROUND((Settings!$C$6+10*Settings!$C$7/1440)*1440,0),1440)/1440)</f>
        <v/>
      </c>
      <c r="W19" s="8" t="n"/>
      <c r="X19" s="8" t="n"/>
      <c r="Y19" s="8" t="n"/>
      <c r="Z19" s="8" t="n"/>
      <c r="AB19" s="37">
        <f>IF(10*Settings!$C$7&gt;=1440,"",MOD(ROUND((Settings!$C$6+10*Settings!$C$7/1440)*1440,0),1440)/1440)</f>
        <v/>
      </c>
      <c r="AC19" s="8" t="n"/>
      <c r="AD19" s="8" t="n"/>
      <c r="AE19" s="8" t="n"/>
      <c r="AF19" s="8" t="n"/>
      <c r="AH19" s="37">
        <f>IF(10*Settings!$C$7&gt;=1440,"",MOD(ROUND((Settings!$C$6+10*Settings!$C$7/1440)*1440,0),1440)/1440)</f>
        <v/>
      </c>
      <c r="AI19" s="8" t="n"/>
      <c r="AJ19" s="8" t="n"/>
      <c r="AK19" s="8" t="n"/>
      <c r="AL19" s="8" t="n"/>
      <c r="AN19" s="37">
        <f>IF(10*Settings!$C$7&gt;=1440,"",MOD(ROUND((Settings!$C$6+10*Settings!$C$7/1440)*1440,0),1440)/1440)</f>
        <v/>
      </c>
      <c r="AO19" s="8" t="n"/>
      <c r="AP19" s="8" t="n"/>
      <c r="AQ19" s="8" t="n"/>
      <c r="AR19" s="8" t="n"/>
      <c r="AT19" s="37">
        <f>IF(10*Settings!$C$7&gt;=1440,"",MOD(ROUND((Settings!$C$6+10*Settings!$C$7/1440)*1440,0),1440)/1440)</f>
        <v/>
      </c>
      <c r="AU19" s="8" t="n"/>
      <c r="AV19" s="8" t="n"/>
      <c r="AW19" s="8" t="n"/>
      <c r="AX19" s="8" t="n"/>
      <c r="BA19" s="13">
        <f>IF(Settings!$B$50="","",Settings!$B$50)</f>
        <v/>
      </c>
      <c r="BB19" s="14" t="b">
        <v>0</v>
      </c>
      <c r="BC19" s="14" t="b">
        <v>0</v>
      </c>
      <c r="BD19" s="14" t="b">
        <v>0</v>
      </c>
      <c r="BE19" s="14" t="b">
        <v>0</v>
      </c>
      <c r="BF19" s="14" t="b">
        <v>0</v>
      </c>
      <c r="BG19" s="14" t="b">
        <v>0</v>
      </c>
      <c r="BH19" s="14" t="b">
        <v>0</v>
      </c>
      <c r="BI19" s="34">
        <f>IF($BA19="","",COUNTIF(BB19:BH19,TRUE)/7)</f>
        <v/>
      </c>
      <c r="BJ19" s="36">
        <f>IF(BI19="","",REPT("█",ROUND(BI19*10,0))&amp;REPT("░",10-ROUND(BI19*10,0)))</f>
        <v/>
      </c>
    </row>
    <row r="20">
      <c r="J20" s="37">
        <f>IF(11*Settings!$C$7&gt;=1440,"",MOD(ROUND((Settings!$C$6+11*Settings!$C$7/1440)*1440,0),1440)/1440)</f>
        <v/>
      </c>
      <c r="K20" s="8" t="n"/>
      <c r="L20" s="8" t="n"/>
      <c r="M20" s="8" t="n"/>
      <c r="N20" s="8" t="n"/>
      <c r="P20" s="37">
        <f>IF(11*Settings!$C$7&gt;=1440,"",MOD(ROUND((Settings!$C$6+11*Settings!$C$7/1440)*1440,0),1440)/1440)</f>
        <v/>
      </c>
      <c r="Q20" s="8" t="n"/>
      <c r="R20" s="8" t="n"/>
      <c r="S20" s="8" t="n"/>
      <c r="T20" s="8" t="n"/>
      <c r="V20" s="37">
        <f>IF(11*Settings!$C$7&gt;=1440,"",MOD(ROUND((Settings!$C$6+11*Settings!$C$7/1440)*1440,0),1440)/1440)</f>
        <v/>
      </c>
      <c r="W20" s="8" t="n"/>
      <c r="X20" s="8" t="n"/>
      <c r="Y20" s="8" t="n"/>
      <c r="Z20" s="8" t="n"/>
      <c r="AB20" s="37">
        <f>IF(11*Settings!$C$7&gt;=1440,"",MOD(ROUND((Settings!$C$6+11*Settings!$C$7/1440)*1440,0),1440)/1440)</f>
        <v/>
      </c>
      <c r="AC20" s="8" t="n"/>
      <c r="AD20" s="8" t="n"/>
      <c r="AE20" s="8" t="n"/>
      <c r="AF20" s="8" t="n"/>
      <c r="AH20" s="37">
        <f>IF(11*Settings!$C$7&gt;=1440,"",MOD(ROUND((Settings!$C$6+11*Settings!$C$7/1440)*1440,0),1440)/1440)</f>
        <v/>
      </c>
      <c r="AI20" s="8" t="n"/>
      <c r="AJ20" s="8" t="n"/>
      <c r="AK20" s="8" t="n"/>
      <c r="AL20" s="8" t="n"/>
      <c r="AN20" s="37">
        <f>IF(11*Settings!$C$7&gt;=1440,"",MOD(ROUND((Settings!$C$6+11*Settings!$C$7/1440)*1440,0),1440)/1440)</f>
        <v/>
      </c>
      <c r="AO20" s="8" t="n"/>
      <c r="AP20" s="8" t="n"/>
      <c r="AQ20" s="8" t="n"/>
      <c r="AR20" s="8" t="n"/>
      <c r="AT20" s="37">
        <f>IF(11*Settings!$C$7&gt;=1440,"",MOD(ROUND((Settings!$C$6+11*Settings!$C$7/1440)*1440,0),1440)/1440)</f>
        <v/>
      </c>
      <c r="AU20" s="8" t="n"/>
      <c r="AV20" s="8" t="n"/>
      <c r="AW20" s="8" t="n"/>
      <c r="AX20" s="8" t="n"/>
      <c r="BA20" s="13">
        <f>IF(Settings!$B$51="","",Settings!$B$51)</f>
        <v/>
      </c>
      <c r="BB20" s="14" t="b">
        <v>0</v>
      </c>
      <c r="BC20" s="14" t="b">
        <v>0</v>
      </c>
      <c r="BD20" s="14" t="b">
        <v>0</v>
      </c>
      <c r="BE20" s="14" t="b">
        <v>0</v>
      </c>
      <c r="BF20" s="14" t="b">
        <v>0</v>
      </c>
      <c r="BG20" s="14" t="b">
        <v>0</v>
      </c>
      <c r="BH20" s="14" t="b">
        <v>0</v>
      </c>
      <c r="BI20" s="34">
        <f>IF($BA20="","",COUNTIF(BB20:BH20,TRUE)/7)</f>
        <v/>
      </c>
      <c r="BJ20" s="36">
        <f>IF(BI20="","",REPT("█",ROUND(BI20*10,0))&amp;REPT("░",10-ROUND(BI20*10,0)))</f>
        <v/>
      </c>
    </row>
    <row r="21">
      <c r="J21" s="37">
        <f>IF(12*Settings!$C$7&gt;=1440,"",MOD(ROUND((Settings!$C$6+12*Settings!$C$7/1440)*1440,0),1440)/1440)</f>
        <v/>
      </c>
      <c r="K21" s="8" t="n"/>
      <c r="L21" s="8" t="n"/>
      <c r="M21" s="8" t="n"/>
      <c r="N21" s="8" t="n"/>
      <c r="P21" s="37">
        <f>IF(12*Settings!$C$7&gt;=1440,"",MOD(ROUND((Settings!$C$6+12*Settings!$C$7/1440)*1440,0),1440)/1440)</f>
        <v/>
      </c>
      <c r="Q21" s="8" t="n"/>
      <c r="R21" s="8" t="n"/>
      <c r="S21" s="8" t="n"/>
      <c r="T21" s="8" t="n"/>
      <c r="V21" s="37">
        <f>IF(12*Settings!$C$7&gt;=1440,"",MOD(ROUND((Settings!$C$6+12*Settings!$C$7/1440)*1440,0),1440)/1440)</f>
        <v/>
      </c>
      <c r="W21" s="8" t="n"/>
      <c r="X21" s="8" t="n"/>
      <c r="Y21" s="8" t="n"/>
      <c r="Z21" s="8" t="n"/>
      <c r="AB21" s="37">
        <f>IF(12*Settings!$C$7&gt;=1440,"",MOD(ROUND((Settings!$C$6+12*Settings!$C$7/1440)*1440,0),1440)/1440)</f>
        <v/>
      </c>
      <c r="AC21" s="8" t="n"/>
      <c r="AD21" s="8" t="n"/>
      <c r="AE21" s="8" t="n"/>
      <c r="AF21" s="8" t="n"/>
      <c r="AH21" s="37">
        <f>IF(12*Settings!$C$7&gt;=1440,"",MOD(ROUND((Settings!$C$6+12*Settings!$C$7/1440)*1440,0),1440)/1440)</f>
        <v/>
      </c>
      <c r="AI21" s="8" t="n"/>
      <c r="AJ21" s="8" t="n"/>
      <c r="AK21" s="8" t="n"/>
      <c r="AL21" s="8" t="n"/>
      <c r="AN21" s="37">
        <f>IF(12*Settings!$C$7&gt;=1440,"",MOD(ROUND((Settings!$C$6+12*Settings!$C$7/1440)*1440,0),1440)/1440)</f>
        <v/>
      </c>
      <c r="AO21" s="8" t="n"/>
      <c r="AP21" s="8" t="n"/>
      <c r="AQ21" s="8" t="n"/>
      <c r="AR21" s="8" t="n"/>
      <c r="AT21" s="37">
        <f>IF(12*Settings!$C$7&gt;=1440,"",MOD(ROUND((Settings!$C$6+12*Settings!$C$7/1440)*1440,0),1440)/1440)</f>
        <v/>
      </c>
      <c r="AU21" s="8" t="n"/>
      <c r="AV21" s="8" t="n"/>
      <c r="AW21" s="8" t="n"/>
      <c r="AX21" s="8" t="n"/>
      <c r="BA21" s="13">
        <f>IF(Settings!$B$52="","",Settings!$B$52)</f>
        <v/>
      </c>
      <c r="BB21" s="14" t="b">
        <v>0</v>
      </c>
      <c r="BC21" s="14" t="b">
        <v>0</v>
      </c>
      <c r="BD21" s="14" t="b">
        <v>0</v>
      </c>
      <c r="BE21" s="14" t="b">
        <v>0</v>
      </c>
      <c r="BF21" s="14" t="b">
        <v>0</v>
      </c>
      <c r="BG21" s="14" t="b">
        <v>0</v>
      </c>
      <c r="BH21" s="14" t="b">
        <v>0</v>
      </c>
      <c r="BI21" s="34">
        <f>IF($BA21="","",COUNTIF(BB21:BH21,TRUE)/7)</f>
        <v/>
      </c>
      <c r="BJ21" s="36">
        <f>IF(BI21="","",REPT("█",ROUND(BI21*10,0))&amp;REPT("░",10-ROUND(BI21*10,0)))</f>
        <v/>
      </c>
    </row>
    <row r="22">
      <c r="B22" s="6">
        <f>IF(Settings!$C$103="",Settings!$B$103,Settings!$C$103)</f>
        <v/>
      </c>
      <c r="C22" s="6" t="n"/>
      <c r="D22" s="6" t="n"/>
      <c r="E22" s="6" t="n"/>
      <c r="F22" s="6" t="n"/>
      <c r="G22" s="6" t="n"/>
      <c r="H22" s="21">
        <f>IFERROR(SUMPRODUCT((C23:C27&lt;&gt;"")*(B23:B27=TRUE))/SUMPRODUCT((C23:C27&lt;&gt;"")*1),0)</f>
        <v/>
      </c>
      <c r="J22" s="37">
        <f>IF(13*Settings!$C$7&gt;=1440,"",MOD(ROUND((Settings!$C$6+13*Settings!$C$7/1440)*1440,0),1440)/1440)</f>
        <v/>
      </c>
      <c r="K22" s="8" t="n"/>
      <c r="L22" s="8" t="n"/>
      <c r="M22" s="8" t="n"/>
      <c r="N22" s="8" t="n"/>
      <c r="P22" s="37">
        <f>IF(13*Settings!$C$7&gt;=1440,"",MOD(ROUND((Settings!$C$6+13*Settings!$C$7/1440)*1440,0),1440)/1440)</f>
        <v/>
      </c>
      <c r="Q22" s="8" t="n"/>
      <c r="R22" s="8" t="n"/>
      <c r="S22" s="8" t="n"/>
      <c r="T22" s="8" t="n"/>
      <c r="V22" s="37">
        <f>IF(13*Settings!$C$7&gt;=1440,"",MOD(ROUND((Settings!$C$6+13*Settings!$C$7/1440)*1440,0),1440)/1440)</f>
        <v/>
      </c>
      <c r="W22" s="8" t="n"/>
      <c r="X22" s="8" t="n"/>
      <c r="Y22" s="8" t="n"/>
      <c r="Z22" s="8" t="n"/>
      <c r="AB22" s="37">
        <f>IF(13*Settings!$C$7&gt;=1440,"",MOD(ROUND((Settings!$C$6+13*Settings!$C$7/1440)*1440,0),1440)/1440)</f>
        <v/>
      </c>
      <c r="AC22" s="8" t="n"/>
      <c r="AD22" s="8" t="n"/>
      <c r="AE22" s="8" t="n"/>
      <c r="AF22" s="8" t="n"/>
      <c r="AH22" s="37">
        <f>IF(13*Settings!$C$7&gt;=1440,"",MOD(ROUND((Settings!$C$6+13*Settings!$C$7/1440)*1440,0),1440)/1440)</f>
        <v/>
      </c>
      <c r="AI22" s="8" t="n"/>
      <c r="AJ22" s="8" t="n"/>
      <c r="AK22" s="8" t="n"/>
      <c r="AL22" s="8" t="n"/>
      <c r="AN22" s="37">
        <f>IF(13*Settings!$C$7&gt;=1440,"",MOD(ROUND((Settings!$C$6+13*Settings!$C$7/1440)*1440,0),1440)/1440)</f>
        <v/>
      </c>
      <c r="AO22" s="8" t="n"/>
      <c r="AP22" s="8" t="n"/>
      <c r="AQ22" s="8" t="n"/>
      <c r="AR22" s="8" t="n"/>
      <c r="AT22" s="37">
        <f>IF(13*Settings!$C$7&gt;=1440,"",MOD(ROUND((Settings!$C$6+13*Settings!$C$7/1440)*1440,0),1440)/1440)</f>
        <v/>
      </c>
      <c r="AU22" s="8" t="n"/>
      <c r="AV22" s="8" t="n"/>
      <c r="AW22" s="8" t="n"/>
      <c r="AX22" s="8" t="n"/>
      <c r="BA22" s="13">
        <f>IF(Settings!$B$53="","",Settings!$B$53)</f>
        <v/>
      </c>
      <c r="BB22" s="14" t="b">
        <v>0</v>
      </c>
      <c r="BC22" s="14" t="b">
        <v>0</v>
      </c>
      <c r="BD22" s="14" t="b">
        <v>0</v>
      </c>
      <c r="BE22" s="14" t="b">
        <v>0</v>
      </c>
      <c r="BF22" s="14" t="b">
        <v>0</v>
      </c>
      <c r="BG22" s="14" t="b">
        <v>0</v>
      </c>
      <c r="BH22" s="14" t="b">
        <v>0</v>
      </c>
      <c r="BI22" s="34">
        <f>IF($BA22="","",COUNTIF(BB22:BH22,TRUE)/7)</f>
        <v/>
      </c>
      <c r="BJ22" s="36">
        <f>IF(BI22="","",REPT("█",ROUND(BI22*10,0))&amp;REPT("░",10-ROUND(BI22*10,0)))</f>
        <v/>
      </c>
    </row>
    <row r="23">
      <c r="B23" s="14" t="b">
        <v>0</v>
      </c>
      <c r="C23" s="8" t="n"/>
      <c r="D23" s="8" t="n"/>
      <c r="E23" s="8" t="n"/>
      <c r="F23" s="8" t="n"/>
      <c r="G23" s="8" t="n"/>
      <c r="H23" s="8" t="n"/>
      <c r="J23" s="37">
        <f>IF(14*Settings!$C$7&gt;=1440,"",MOD(ROUND((Settings!$C$6+14*Settings!$C$7/1440)*1440,0),1440)/1440)</f>
        <v/>
      </c>
      <c r="K23" s="8" t="n"/>
      <c r="L23" s="8" t="n"/>
      <c r="M23" s="8" t="n"/>
      <c r="N23" s="8" t="n"/>
      <c r="P23" s="37">
        <f>IF(14*Settings!$C$7&gt;=1440,"",MOD(ROUND((Settings!$C$6+14*Settings!$C$7/1440)*1440,0),1440)/1440)</f>
        <v/>
      </c>
      <c r="Q23" s="8" t="n"/>
      <c r="R23" s="8" t="n"/>
      <c r="S23" s="8" t="n"/>
      <c r="T23" s="8" t="n"/>
      <c r="V23" s="37">
        <f>IF(14*Settings!$C$7&gt;=1440,"",MOD(ROUND((Settings!$C$6+14*Settings!$C$7/1440)*1440,0),1440)/1440)</f>
        <v/>
      </c>
      <c r="W23" s="8" t="n"/>
      <c r="X23" s="8" t="n"/>
      <c r="Y23" s="8" t="n"/>
      <c r="Z23" s="8" t="n"/>
      <c r="AB23" s="37">
        <f>IF(14*Settings!$C$7&gt;=1440,"",MOD(ROUND((Settings!$C$6+14*Settings!$C$7/1440)*1440,0),1440)/1440)</f>
        <v/>
      </c>
      <c r="AC23" s="8" t="n"/>
      <c r="AD23" s="8" t="n"/>
      <c r="AE23" s="8" t="n"/>
      <c r="AF23" s="8" t="n"/>
      <c r="AH23" s="37">
        <f>IF(14*Settings!$C$7&gt;=1440,"",MOD(ROUND((Settings!$C$6+14*Settings!$C$7/1440)*1440,0),1440)/1440)</f>
        <v/>
      </c>
      <c r="AI23" s="8" t="n"/>
      <c r="AJ23" s="8" t="n"/>
      <c r="AK23" s="8" t="n"/>
      <c r="AL23" s="8" t="n"/>
      <c r="AN23" s="37">
        <f>IF(14*Settings!$C$7&gt;=1440,"",MOD(ROUND((Settings!$C$6+14*Settings!$C$7/1440)*1440,0),1440)/1440)</f>
        <v/>
      </c>
      <c r="AO23" s="8" t="n"/>
      <c r="AP23" s="8" t="n"/>
      <c r="AQ23" s="8" t="n"/>
      <c r="AR23" s="8" t="n"/>
      <c r="AT23" s="37">
        <f>IF(14*Settings!$C$7&gt;=1440,"",MOD(ROUND((Settings!$C$6+14*Settings!$C$7/1440)*1440,0),1440)/1440)</f>
        <v/>
      </c>
      <c r="AU23" s="8" t="n"/>
      <c r="AV23" s="8" t="n"/>
      <c r="AW23" s="8" t="n"/>
      <c r="AX23" s="8" t="n"/>
      <c r="BA23" s="13">
        <f>IF(Settings!$B$54="","",Settings!$B$54)</f>
        <v/>
      </c>
      <c r="BB23" s="14" t="b">
        <v>0</v>
      </c>
      <c r="BC23" s="14" t="b">
        <v>0</v>
      </c>
      <c r="BD23" s="14" t="b">
        <v>0</v>
      </c>
      <c r="BE23" s="14" t="b">
        <v>0</v>
      </c>
      <c r="BF23" s="14" t="b">
        <v>0</v>
      </c>
      <c r="BG23" s="14" t="b">
        <v>0</v>
      </c>
      <c r="BH23" s="14" t="b">
        <v>0</v>
      </c>
      <c r="BI23" s="34">
        <f>IF($BA23="","",COUNTIF(BB23:BH23,TRUE)/7)</f>
        <v/>
      </c>
      <c r="BJ23" s="36">
        <f>IF(BI23="","",REPT("█",ROUND(BI23*10,0))&amp;REPT("░",10-ROUND(BI23*10,0)))</f>
        <v/>
      </c>
    </row>
    <row r="24">
      <c r="B24" s="14" t="b">
        <v>0</v>
      </c>
      <c r="C24" s="8" t="n"/>
      <c r="D24" s="8" t="n"/>
      <c r="E24" s="8" t="n"/>
      <c r="F24" s="8" t="n"/>
      <c r="G24" s="8" t="n"/>
      <c r="H24" s="8" t="n"/>
      <c r="J24" s="37">
        <f>IF(15*Settings!$C$7&gt;=1440,"",MOD(ROUND((Settings!$C$6+15*Settings!$C$7/1440)*1440,0),1440)/1440)</f>
        <v/>
      </c>
      <c r="K24" s="8" t="n"/>
      <c r="L24" s="8" t="n"/>
      <c r="M24" s="8" t="n"/>
      <c r="N24" s="8" t="n"/>
      <c r="P24" s="37">
        <f>IF(15*Settings!$C$7&gt;=1440,"",MOD(ROUND((Settings!$C$6+15*Settings!$C$7/1440)*1440,0),1440)/1440)</f>
        <v/>
      </c>
      <c r="Q24" s="8" t="n"/>
      <c r="R24" s="8" t="n"/>
      <c r="S24" s="8" t="n"/>
      <c r="T24" s="8" t="n"/>
      <c r="V24" s="37">
        <f>IF(15*Settings!$C$7&gt;=1440,"",MOD(ROUND((Settings!$C$6+15*Settings!$C$7/1440)*1440,0),1440)/1440)</f>
        <v/>
      </c>
      <c r="W24" s="8" t="n"/>
      <c r="X24" s="8" t="n"/>
      <c r="Y24" s="8" t="n"/>
      <c r="Z24" s="8" t="n"/>
      <c r="AB24" s="37">
        <f>IF(15*Settings!$C$7&gt;=1440,"",MOD(ROUND((Settings!$C$6+15*Settings!$C$7/1440)*1440,0),1440)/1440)</f>
        <v/>
      </c>
      <c r="AC24" s="8" t="n"/>
      <c r="AD24" s="8" t="n"/>
      <c r="AE24" s="8" t="n"/>
      <c r="AF24" s="8" t="n"/>
      <c r="AH24" s="37">
        <f>IF(15*Settings!$C$7&gt;=1440,"",MOD(ROUND((Settings!$C$6+15*Settings!$C$7/1440)*1440,0),1440)/1440)</f>
        <v/>
      </c>
      <c r="AI24" s="8" t="n"/>
      <c r="AJ24" s="8" t="n"/>
      <c r="AK24" s="8" t="n"/>
      <c r="AL24" s="8" t="n"/>
      <c r="AN24" s="37">
        <f>IF(15*Settings!$C$7&gt;=1440,"",MOD(ROUND((Settings!$C$6+15*Settings!$C$7/1440)*1440,0),1440)/1440)</f>
        <v/>
      </c>
      <c r="AO24" s="8" t="n"/>
      <c r="AP24" s="8" t="n"/>
      <c r="AQ24" s="8" t="n"/>
      <c r="AR24" s="8" t="n"/>
      <c r="AT24" s="37">
        <f>IF(15*Settings!$C$7&gt;=1440,"",MOD(ROUND((Settings!$C$6+15*Settings!$C$7/1440)*1440,0),1440)/1440)</f>
        <v/>
      </c>
      <c r="AU24" s="8" t="n"/>
      <c r="AV24" s="8" t="n"/>
      <c r="AW24" s="8" t="n"/>
      <c r="AX24" s="8" t="n"/>
      <c r="BA24" s="13">
        <f>IF(Settings!$B$55="","",Settings!$B$55)</f>
        <v/>
      </c>
      <c r="BB24" s="14" t="b">
        <v>0</v>
      </c>
      <c r="BC24" s="14" t="b">
        <v>0</v>
      </c>
      <c r="BD24" s="14" t="b">
        <v>0</v>
      </c>
      <c r="BE24" s="14" t="b">
        <v>0</v>
      </c>
      <c r="BF24" s="14" t="b">
        <v>0</v>
      </c>
      <c r="BG24" s="14" t="b">
        <v>0</v>
      </c>
      <c r="BH24" s="14" t="b">
        <v>0</v>
      </c>
      <c r="BI24" s="34">
        <f>IF($BA24="","",COUNTIF(BB24:BH24,TRUE)/7)</f>
        <v/>
      </c>
      <c r="BJ24" s="36">
        <f>IF(BI24="","",REPT("█",ROUND(BI24*10,0))&amp;REPT("░",10-ROUND(BI24*10,0)))</f>
        <v/>
      </c>
    </row>
    <row r="25">
      <c r="B25" s="14" t="b">
        <v>0</v>
      </c>
      <c r="C25" s="8" t="n"/>
      <c r="D25" s="8" t="n"/>
      <c r="E25" s="8" t="n"/>
      <c r="F25" s="8" t="n"/>
      <c r="G25" s="8" t="n"/>
      <c r="H25" s="8" t="n"/>
      <c r="J25" s="37">
        <f>IF(16*Settings!$C$7&gt;=1440,"",MOD(ROUND((Settings!$C$6+16*Settings!$C$7/1440)*1440,0),1440)/1440)</f>
        <v/>
      </c>
      <c r="K25" s="8" t="n"/>
      <c r="L25" s="8" t="n"/>
      <c r="M25" s="8" t="n"/>
      <c r="N25" s="8" t="n"/>
      <c r="P25" s="37">
        <f>IF(16*Settings!$C$7&gt;=1440,"",MOD(ROUND((Settings!$C$6+16*Settings!$C$7/1440)*1440,0),1440)/1440)</f>
        <v/>
      </c>
      <c r="Q25" s="8" t="n"/>
      <c r="R25" s="8" t="n"/>
      <c r="S25" s="8" t="n"/>
      <c r="T25" s="8" t="n"/>
      <c r="V25" s="37">
        <f>IF(16*Settings!$C$7&gt;=1440,"",MOD(ROUND((Settings!$C$6+16*Settings!$C$7/1440)*1440,0),1440)/1440)</f>
        <v/>
      </c>
      <c r="W25" s="8" t="n"/>
      <c r="X25" s="8" t="n"/>
      <c r="Y25" s="8" t="n"/>
      <c r="Z25" s="8" t="n"/>
      <c r="AB25" s="37">
        <f>IF(16*Settings!$C$7&gt;=1440,"",MOD(ROUND((Settings!$C$6+16*Settings!$C$7/1440)*1440,0),1440)/1440)</f>
        <v/>
      </c>
      <c r="AC25" s="8" t="n"/>
      <c r="AD25" s="8" t="n"/>
      <c r="AE25" s="8" t="n"/>
      <c r="AF25" s="8" t="n"/>
      <c r="AH25" s="37">
        <f>IF(16*Settings!$C$7&gt;=1440,"",MOD(ROUND((Settings!$C$6+16*Settings!$C$7/1440)*1440,0),1440)/1440)</f>
        <v/>
      </c>
      <c r="AI25" s="8" t="n"/>
      <c r="AJ25" s="8" t="n"/>
      <c r="AK25" s="8" t="n"/>
      <c r="AL25" s="8" t="n"/>
      <c r="AN25" s="37">
        <f>IF(16*Settings!$C$7&gt;=1440,"",MOD(ROUND((Settings!$C$6+16*Settings!$C$7/1440)*1440,0),1440)/1440)</f>
        <v/>
      </c>
      <c r="AO25" s="8" t="n"/>
      <c r="AP25" s="8" t="n"/>
      <c r="AQ25" s="8" t="n"/>
      <c r="AR25" s="8" t="n"/>
      <c r="AT25" s="37">
        <f>IF(16*Settings!$C$7&gt;=1440,"",MOD(ROUND((Settings!$C$6+16*Settings!$C$7/1440)*1440,0),1440)/1440)</f>
        <v/>
      </c>
      <c r="AU25" s="8" t="n"/>
      <c r="AV25" s="8" t="n"/>
      <c r="AW25" s="8" t="n"/>
      <c r="AX25" s="8" t="n"/>
      <c r="BA25" s="13">
        <f>IF(Settings!$B$56="","",Settings!$B$56)</f>
        <v/>
      </c>
      <c r="BB25" s="14" t="b">
        <v>0</v>
      </c>
      <c r="BC25" s="14" t="b">
        <v>0</v>
      </c>
      <c r="BD25" s="14" t="b">
        <v>0</v>
      </c>
      <c r="BE25" s="14" t="b">
        <v>0</v>
      </c>
      <c r="BF25" s="14" t="b">
        <v>0</v>
      </c>
      <c r="BG25" s="14" t="b">
        <v>0</v>
      </c>
      <c r="BH25" s="14" t="b">
        <v>0</v>
      </c>
      <c r="BI25" s="34">
        <f>IF($BA25="","",COUNTIF(BB25:BH25,TRUE)/7)</f>
        <v/>
      </c>
      <c r="BJ25" s="36">
        <f>IF(BI25="","",REPT("█",ROUND(BI25*10,0))&amp;REPT("░",10-ROUND(BI25*10,0)))</f>
        <v/>
      </c>
    </row>
    <row r="26">
      <c r="B26" s="14" t="b">
        <v>0</v>
      </c>
      <c r="C26" s="8" t="n"/>
      <c r="D26" s="8" t="n"/>
      <c r="E26" s="8" t="n"/>
      <c r="F26" s="8" t="n"/>
      <c r="G26" s="8" t="n"/>
      <c r="H26" s="8" t="n"/>
      <c r="J26" s="37">
        <f>IF(17*Settings!$C$7&gt;=1440,"",MOD(ROUND((Settings!$C$6+17*Settings!$C$7/1440)*1440,0),1440)/1440)</f>
        <v/>
      </c>
      <c r="K26" s="8" t="n"/>
      <c r="L26" s="8" t="n"/>
      <c r="M26" s="8" t="n"/>
      <c r="N26" s="8" t="n"/>
      <c r="P26" s="37">
        <f>IF(17*Settings!$C$7&gt;=1440,"",MOD(ROUND((Settings!$C$6+17*Settings!$C$7/1440)*1440,0),1440)/1440)</f>
        <v/>
      </c>
      <c r="Q26" s="8" t="n"/>
      <c r="R26" s="8" t="n"/>
      <c r="S26" s="8" t="n"/>
      <c r="T26" s="8" t="n"/>
      <c r="V26" s="37">
        <f>IF(17*Settings!$C$7&gt;=1440,"",MOD(ROUND((Settings!$C$6+17*Settings!$C$7/1440)*1440,0),1440)/1440)</f>
        <v/>
      </c>
      <c r="W26" s="8" t="n"/>
      <c r="X26" s="8" t="n"/>
      <c r="Y26" s="8" t="n"/>
      <c r="Z26" s="8" t="n"/>
      <c r="AB26" s="37">
        <f>IF(17*Settings!$C$7&gt;=1440,"",MOD(ROUND((Settings!$C$6+17*Settings!$C$7/1440)*1440,0),1440)/1440)</f>
        <v/>
      </c>
      <c r="AC26" s="8" t="n"/>
      <c r="AD26" s="8" t="n"/>
      <c r="AE26" s="8" t="n"/>
      <c r="AF26" s="8" t="n"/>
      <c r="AH26" s="37">
        <f>IF(17*Settings!$C$7&gt;=1440,"",MOD(ROUND((Settings!$C$6+17*Settings!$C$7/1440)*1440,0),1440)/1440)</f>
        <v/>
      </c>
      <c r="AI26" s="8" t="n"/>
      <c r="AJ26" s="8" t="n"/>
      <c r="AK26" s="8" t="n"/>
      <c r="AL26" s="8" t="n"/>
      <c r="AN26" s="37">
        <f>IF(17*Settings!$C$7&gt;=1440,"",MOD(ROUND((Settings!$C$6+17*Settings!$C$7/1440)*1440,0),1440)/1440)</f>
        <v/>
      </c>
      <c r="AO26" s="8" t="n"/>
      <c r="AP26" s="8" t="n"/>
      <c r="AQ26" s="8" t="n"/>
      <c r="AR26" s="8" t="n"/>
      <c r="AT26" s="37">
        <f>IF(17*Settings!$C$7&gt;=1440,"",MOD(ROUND((Settings!$C$6+17*Settings!$C$7/1440)*1440,0),1440)/1440)</f>
        <v/>
      </c>
      <c r="AU26" s="8" t="n"/>
      <c r="AV26" s="8" t="n"/>
      <c r="AW26" s="8" t="n"/>
      <c r="AX26" s="8" t="n"/>
      <c r="BA26" s="13">
        <f>IF(Settings!$B$57="","",Settings!$B$57)</f>
        <v/>
      </c>
      <c r="BB26" s="14" t="b">
        <v>0</v>
      </c>
      <c r="BC26" s="14" t="b">
        <v>0</v>
      </c>
      <c r="BD26" s="14" t="b">
        <v>0</v>
      </c>
      <c r="BE26" s="14" t="b">
        <v>0</v>
      </c>
      <c r="BF26" s="14" t="b">
        <v>0</v>
      </c>
      <c r="BG26" s="14" t="b">
        <v>0</v>
      </c>
      <c r="BH26" s="14" t="b">
        <v>0</v>
      </c>
      <c r="BI26" s="34">
        <f>IF($BA26="","",COUNTIF(BB26:BH26,TRUE)/7)</f>
        <v/>
      </c>
      <c r="BJ26" s="36">
        <f>IF(BI26="","",REPT("█",ROUND(BI26*10,0))&amp;REPT("░",10-ROUND(BI26*10,0)))</f>
        <v/>
      </c>
    </row>
    <row r="27">
      <c r="B27" s="14" t="b">
        <v>0</v>
      </c>
      <c r="C27" s="8" t="n"/>
      <c r="D27" s="8" t="n"/>
      <c r="E27" s="8" t="n"/>
      <c r="F27" s="8" t="n"/>
      <c r="G27" s="8" t="n"/>
      <c r="H27" s="8" t="n"/>
      <c r="J27" s="37">
        <f>IF(18*Settings!$C$7&gt;=1440,"",MOD(ROUND((Settings!$C$6+18*Settings!$C$7/1440)*1440,0),1440)/1440)</f>
        <v/>
      </c>
      <c r="K27" s="8" t="n"/>
      <c r="L27" s="8" t="n"/>
      <c r="M27" s="8" t="n"/>
      <c r="N27" s="8" t="n"/>
      <c r="P27" s="37">
        <f>IF(18*Settings!$C$7&gt;=1440,"",MOD(ROUND((Settings!$C$6+18*Settings!$C$7/1440)*1440,0),1440)/1440)</f>
        <v/>
      </c>
      <c r="Q27" s="8" t="n"/>
      <c r="R27" s="8" t="n"/>
      <c r="S27" s="8" t="n"/>
      <c r="T27" s="8" t="n"/>
      <c r="V27" s="37">
        <f>IF(18*Settings!$C$7&gt;=1440,"",MOD(ROUND((Settings!$C$6+18*Settings!$C$7/1440)*1440,0),1440)/1440)</f>
        <v/>
      </c>
      <c r="W27" s="8" t="n"/>
      <c r="X27" s="8" t="n"/>
      <c r="Y27" s="8" t="n"/>
      <c r="Z27" s="8" t="n"/>
      <c r="AB27" s="37">
        <f>IF(18*Settings!$C$7&gt;=1440,"",MOD(ROUND((Settings!$C$6+18*Settings!$C$7/1440)*1440,0),1440)/1440)</f>
        <v/>
      </c>
      <c r="AC27" s="8" t="n"/>
      <c r="AD27" s="8" t="n"/>
      <c r="AE27" s="8" t="n"/>
      <c r="AF27" s="8" t="n"/>
      <c r="AH27" s="37">
        <f>IF(18*Settings!$C$7&gt;=1440,"",MOD(ROUND((Settings!$C$6+18*Settings!$C$7/1440)*1440,0),1440)/1440)</f>
        <v/>
      </c>
      <c r="AI27" s="8" t="n"/>
      <c r="AJ27" s="8" t="n"/>
      <c r="AK27" s="8" t="n"/>
      <c r="AL27" s="8" t="n"/>
      <c r="AN27" s="37">
        <f>IF(18*Settings!$C$7&gt;=1440,"",MOD(ROUND((Settings!$C$6+18*Settings!$C$7/1440)*1440,0),1440)/1440)</f>
        <v/>
      </c>
      <c r="AO27" s="8" t="n"/>
      <c r="AP27" s="8" t="n"/>
      <c r="AQ27" s="8" t="n"/>
      <c r="AR27" s="8" t="n"/>
      <c r="AT27" s="37">
        <f>IF(18*Settings!$C$7&gt;=1440,"",MOD(ROUND((Settings!$C$6+18*Settings!$C$7/1440)*1440,0),1440)/1440)</f>
        <v/>
      </c>
      <c r="AU27" s="8" t="n"/>
      <c r="AV27" s="8" t="n"/>
      <c r="AW27" s="8" t="n"/>
      <c r="AX27" s="8" t="n"/>
      <c r="BA27" s="38" t="inlineStr">
        <is>
          <t>Daily completion</t>
        </is>
      </c>
      <c r="BB27" s="34">
        <f>IFERROR(SUMPRODUCT(($BA$6:$BA$26&lt;&gt;"")*(BB$6:BB$26=TRUE))/SUMPRODUCT(($BA$6:$BA$26&lt;&gt;"")*1),0)</f>
        <v/>
      </c>
      <c r="BC27" s="34">
        <f>IFERROR(SUMPRODUCT(($BA$6:$BA$26&lt;&gt;"")*(BC$6:BC$26=TRUE))/SUMPRODUCT(($BA$6:$BA$26&lt;&gt;"")*1),0)</f>
        <v/>
      </c>
      <c r="BD27" s="34">
        <f>IFERROR(SUMPRODUCT(($BA$6:$BA$26&lt;&gt;"")*(BD$6:BD$26=TRUE))/SUMPRODUCT(($BA$6:$BA$26&lt;&gt;"")*1),0)</f>
        <v/>
      </c>
      <c r="BE27" s="34">
        <f>IFERROR(SUMPRODUCT(($BA$6:$BA$26&lt;&gt;"")*(BE$6:BE$26=TRUE))/SUMPRODUCT(($BA$6:$BA$26&lt;&gt;"")*1),0)</f>
        <v/>
      </c>
      <c r="BF27" s="34">
        <f>IFERROR(SUMPRODUCT(($BA$6:$BA$26&lt;&gt;"")*(BF$6:BF$26=TRUE))/SUMPRODUCT(($BA$6:$BA$26&lt;&gt;"")*1),0)</f>
        <v/>
      </c>
      <c r="BG27" s="34">
        <f>IFERROR(SUMPRODUCT(($BA$6:$BA$26&lt;&gt;"")*(BG$6:BG$26=TRUE))/SUMPRODUCT(($BA$6:$BA$26&lt;&gt;"")*1),0)</f>
        <v/>
      </c>
      <c r="BH27" s="34">
        <f>IFERROR(SUMPRODUCT(($BA$6:$BA$26&lt;&gt;"")*(BH$6:BH$26=TRUE))/SUMPRODUCT(($BA$6:$BA$26&lt;&gt;"")*1),0)</f>
        <v/>
      </c>
      <c r="BI27" s="34">
        <f>IFERROR(SUMPRODUCT(($BA$6:$BA$26&lt;&gt;"")*($BB$6:$BH$26=TRUE))/(SUMPRODUCT(($BA$6:$BA$26&lt;&gt;"")*1)*7),0)</f>
        <v/>
      </c>
      <c r="BJ27" s="36">
        <f>IF(BI27="","",REPT("█",ROUND(BI27*10,0))&amp;REPT("░",10-ROUND(BI27*10,0)))</f>
        <v/>
      </c>
    </row>
    <row r="28">
      <c r="J28" s="37">
        <f>IF(19*Settings!$C$7&gt;=1440,"",MOD(ROUND((Settings!$C$6+19*Settings!$C$7/1440)*1440,0),1440)/1440)</f>
        <v/>
      </c>
      <c r="K28" s="8" t="n"/>
      <c r="L28" s="8" t="n"/>
      <c r="M28" s="8" t="n"/>
      <c r="N28" s="8" t="n"/>
      <c r="P28" s="37">
        <f>IF(19*Settings!$C$7&gt;=1440,"",MOD(ROUND((Settings!$C$6+19*Settings!$C$7/1440)*1440,0),1440)/1440)</f>
        <v/>
      </c>
      <c r="Q28" s="8" t="n"/>
      <c r="R28" s="8" t="n"/>
      <c r="S28" s="8" t="n"/>
      <c r="T28" s="8" t="n"/>
      <c r="V28" s="37">
        <f>IF(19*Settings!$C$7&gt;=1440,"",MOD(ROUND((Settings!$C$6+19*Settings!$C$7/1440)*1440,0),1440)/1440)</f>
        <v/>
      </c>
      <c r="W28" s="8" t="n"/>
      <c r="X28" s="8" t="n"/>
      <c r="Y28" s="8" t="n"/>
      <c r="Z28" s="8" t="n"/>
      <c r="AB28" s="37">
        <f>IF(19*Settings!$C$7&gt;=1440,"",MOD(ROUND((Settings!$C$6+19*Settings!$C$7/1440)*1440,0),1440)/1440)</f>
        <v/>
      </c>
      <c r="AC28" s="8" t="n"/>
      <c r="AD28" s="8" t="n"/>
      <c r="AE28" s="8" t="n"/>
      <c r="AF28" s="8" t="n"/>
      <c r="AH28" s="37">
        <f>IF(19*Settings!$C$7&gt;=1440,"",MOD(ROUND((Settings!$C$6+19*Settings!$C$7/1440)*1440,0),1440)/1440)</f>
        <v/>
      </c>
      <c r="AI28" s="8" t="n"/>
      <c r="AJ28" s="8" t="n"/>
      <c r="AK28" s="8" t="n"/>
      <c r="AL28" s="8" t="n"/>
      <c r="AN28" s="37">
        <f>IF(19*Settings!$C$7&gt;=1440,"",MOD(ROUND((Settings!$C$6+19*Settings!$C$7/1440)*1440,0),1440)/1440)</f>
        <v/>
      </c>
      <c r="AO28" s="8" t="n"/>
      <c r="AP28" s="8" t="n"/>
      <c r="AQ28" s="8" t="n"/>
      <c r="AR28" s="8" t="n"/>
      <c r="AT28" s="37">
        <f>IF(19*Settings!$C$7&gt;=1440,"",MOD(ROUND((Settings!$C$6+19*Settings!$C$7/1440)*1440,0),1440)/1440)</f>
        <v/>
      </c>
      <c r="AU28" s="8" t="n"/>
      <c r="AV28" s="8" t="n"/>
      <c r="AW28" s="8" t="n"/>
      <c r="AX28" s="8" t="n"/>
    </row>
    <row r="29">
      <c r="J29" s="37">
        <f>IF(20*Settings!$C$7&gt;=1440,"",MOD(ROUND((Settings!$C$6+20*Settings!$C$7/1440)*1440,0),1440)/1440)</f>
        <v/>
      </c>
      <c r="K29" s="8" t="n"/>
      <c r="L29" s="8" t="n"/>
      <c r="M29" s="8" t="n"/>
      <c r="N29" s="8" t="n"/>
      <c r="P29" s="37">
        <f>IF(20*Settings!$C$7&gt;=1440,"",MOD(ROUND((Settings!$C$6+20*Settings!$C$7/1440)*1440,0),1440)/1440)</f>
        <v/>
      </c>
      <c r="Q29" s="8" t="n"/>
      <c r="R29" s="8" t="n"/>
      <c r="S29" s="8" t="n"/>
      <c r="T29" s="8" t="n"/>
      <c r="V29" s="37">
        <f>IF(20*Settings!$C$7&gt;=1440,"",MOD(ROUND((Settings!$C$6+20*Settings!$C$7/1440)*1440,0),1440)/1440)</f>
        <v/>
      </c>
      <c r="W29" s="8" t="n"/>
      <c r="X29" s="8" t="n"/>
      <c r="Y29" s="8" t="n"/>
      <c r="Z29" s="8" t="n"/>
      <c r="AB29" s="37">
        <f>IF(20*Settings!$C$7&gt;=1440,"",MOD(ROUND((Settings!$C$6+20*Settings!$C$7/1440)*1440,0),1440)/1440)</f>
        <v/>
      </c>
      <c r="AC29" s="8" t="n"/>
      <c r="AD29" s="8" t="n"/>
      <c r="AE29" s="8" t="n"/>
      <c r="AF29" s="8" t="n"/>
      <c r="AH29" s="37">
        <f>IF(20*Settings!$C$7&gt;=1440,"",MOD(ROUND((Settings!$C$6+20*Settings!$C$7/1440)*1440,0),1440)/1440)</f>
        <v/>
      </c>
      <c r="AI29" s="8" t="n"/>
      <c r="AJ29" s="8" t="n"/>
      <c r="AK29" s="8" t="n"/>
      <c r="AL29" s="8" t="n"/>
      <c r="AN29" s="37">
        <f>IF(20*Settings!$C$7&gt;=1440,"",MOD(ROUND((Settings!$C$6+20*Settings!$C$7/1440)*1440,0),1440)/1440)</f>
        <v/>
      </c>
      <c r="AO29" s="8" t="n"/>
      <c r="AP29" s="8" t="n"/>
      <c r="AQ29" s="8" t="n"/>
      <c r="AR29" s="8" t="n"/>
      <c r="AT29" s="37">
        <f>IF(20*Settings!$C$7&gt;=1440,"",MOD(ROUND((Settings!$C$6+20*Settings!$C$7/1440)*1440,0),1440)/1440)</f>
        <v/>
      </c>
      <c r="AU29" s="8" t="n"/>
      <c r="AV29" s="8" t="n"/>
      <c r="AW29" s="8" t="n"/>
      <c r="AX29" s="8" t="n"/>
    </row>
    <row r="30">
      <c r="J30" s="37">
        <f>IF(21*Settings!$C$7&gt;=1440,"",MOD(ROUND((Settings!$C$6+21*Settings!$C$7/1440)*1440,0),1440)/1440)</f>
        <v/>
      </c>
      <c r="K30" s="8" t="n"/>
      <c r="L30" s="8" t="n"/>
      <c r="M30" s="8" t="n"/>
      <c r="N30" s="8" t="n"/>
      <c r="P30" s="37">
        <f>IF(21*Settings!$C$7&gt;=1440,"",MOD(ROUND((Settings!$C$6+21*Settings!$C$7/1440)*1440,0),1440)/1440)</f>
        <v/>
      </c>
      <c r="Q30" s="8" t="n"/>
      <c r="R30" s="8" t="n"/>
      <c r="S30" s="8" t="n"/>
      <c r="T30" s="8" t="n"/>
      <c r="V30" s="37">
        <f>IF(21*Settings!$C$7&gt;=1440,"",MOD(ROUND((Settings!$C$6+21*Settings!$C$7/1440)*1440,0),1440)/1440)</f>
        <v/>
      </c>
      <c r="W30" s="8" t="n"/>
      <c r="X30" s="8" t="n"/>
      <c r="Y30" s="8" t="n"/>
      <c r="Z30" s="8" t="n"/>
      <c r="AB30" s="37">
        <f>IF(21*Settings!$C$7&gt;=1440,"",MOD(ROUND((Settings!$C$6+21*Settings!$C$7/1440)*1440,0),1440)/1440)</f>
        <v/>
      </c>
      <c r="AC30" s="8" t="n"/>
      <c r="AD30" s="8" t="n"/>
      <c r="AE30" s="8" t="n"/>
      <c r="AF30" s="8" t="n"/>
      <c r="AH30" s="37">
        <f>IF(21*Settings!$C$7&gt;=1440,"",MOD(ROUND((Settings!$C$6+21*Settings!$C$7/1440)*1440,0),1440)/1440)</f>
        <v/>
      </c>
      <c r="AI30" s="8" t="n"/>
      <c r="AJ30" s="8" t="n"/>
      <c r="AK30" s="8" t="n"/>
      <c r="AL30" s="8" t="n"/>
      <c r="AN30" s="37">
        <f>IF(21*Settings!$C$7&gt;=1440,"",MOD(ROUND((Settings!$C$6+21*Settings!$C$7/1440)*1440,0),1440)/1440)</f>
        <v/>
      </c>
      <c r="AO30" s="8" t="n"/>
      <c r="AP30" s="8" t="n"/>
      <c r="AQ30" s="8" t="n"/>
      <c r="AR30" s="8" t="n"/>
      <c r="AT30" s="37">
        <f>IF(21*Settings!$C$7&gt;=1440,"",MOD(ROUND((Settings!$C$6+21*Settings!$C$7/1440)*1440,0),1440)/1440)</f>
        <v/>
      </c>
      <c r="AU30" s="8" t="n"/>
      <c r="AV30" s="8" t="n"/>
      <c r="AW30" s="8" t="n"/>
      <c r="AX30" s="8" t="n"/>
      <c r="BA30" s="6">
        <f>IF(Settings!$C$101="",Settings!$B$101,Settings!$C$101)</f>
        <v/>
      </c>
      <c r="BB30" s="6" t="n"/>
      <c r="BC30" s="6" t="n"/>
      <c r="BD30" s="6" t="n"/>
      <c r="BE30" s="6" t="n"/>
      <c r="BF30" s="6" t="n"/>
      <c r="BG30" s="6" t="n"/>
      <c r="BH30" s="6" t="n"/>
      <c r="BI30" s="39" t="inlineStr">
        <is>
          <t>Avg</t>
        </is>
      </c>
      <c r="BJ30" s="39" t="inlineStr">
        <is>
          <t>Total</t>
        </is>
      </c>
    </row>
    <row r="31">
      <c r="J31" s="37">
        <f>IF(22*Settings!$C$7&gt;=1440,"",MOD(ROUND((Settings!$C$6+22*Settings!$C$7/1440)*1440,0),1440)/1440)</f>
        <v/>
      </c>
      <c r="K31" s="8" t="n"/>
      <c r="L31" s="8" t="n"/>
      <c r="M31" s="8" t="n"/>
      <c r="N31" s="8" t="n"/>
      <c r="P31" s="37">
        <f>IF(22*Settings!$C$7&gt;=1440,"",MOD(ROUND((Settings!$C$6+22*Settings!$C$7/1440)*1440,0),1440)/1440)</f>
        <v/>
      </c>
      <c r="Q31" s="8" t="n"/>
      <c r="R31" s="8" t="n"/>
      <c r="S31" s="8" t="n"/>
      <c r="T31" s="8" t="n"/>
      <c r="V31" s="37">
        <f>IF(22*Settings!$C$7&gt;=1440,"",MOD(ROUND((Settings!$C$6+22*Settings!$C$7/1440)*1440,0),1440)/1440)</f>
        <v/>
      </c>
      <c r="W31" s="8" t="n"/>
      <c r="X31" s="8" t="n"/>
      <c r="Y31" s="8" t="n"/>
      <c r="Z31" s="8" t="n"/>
      <c r="AB31" s="37">
        <f>IF(22*Settings!$C$7&gt;=1440,"",MOD(ROUND((Settings!$C$6+22*Settings!$C$7/1440)*1440,0),1440)/1440)</f>
        <v/>
      </c>
      <c r="AC31" s="8" t="n"/>
      <c r="AD31" s="8" t="n"/>
      <c r="AE31" s="8" t="n"/>
      <c r="AF31" s="8" t="n"/>
      <c r="AH31" s="37">
        <f>IF(22*Settings!$C$7&gt;=1440,"",MOD(ROUND((Settings!$C$6+22*Settings!$C$7/1440)*1440,0),1440)/1440)</f>
        <v/>
      </c>
      <c r="AI31" s="8" t="n"/>
      <c r="AJ31" s="8" t="n"/>
      <c r="AK31" s="8" t="n"/>
      <c r="AL31" s="8" t="n"/>
      <c r="AN31" s="37">
        <f>IF(22*Settings!$C$7&gt;=1440,"",MOD(ROUND((Settings!$C$6+22*Settings!$C$7/1440)*1440,0),1440)/1440)</f>
        <v/>
      </c>
      <c r="AO31" s="8" t="n"/>
      <c r="AP31" s="8" t="n"/>
      <c r="AQ31" s="8" t="n"/>
      <c r="AR31" s="8" t="n"/>
      <c r="AT31" s="37">
        <f>IF(22*Settings!$C$7&gt;=1440,"",MOD(ROUND((Settings!$C$6+22*Settings!$C$7/1440)*1440,0),1440)/1440)</f>
        <v/>
      </c>
      <c r="AU31" s="8" t="n"/>
      <c r="AV31" s="8" t="n"/>
      <c r="AW31" s="8" t="n"/>
      <c r="AX31" s="8" t="n"/>
      <c r="BA31" s="40">
        <f>Settings!$B$61&amp;IF(Settings!$C$61&lt;&gt;""," ("&amp;Settings!$C$61&amp;")","")</f>
        <v/>
      </c>
      <c r="BB31" s="14" t="n"/>
      <c r="BC31" s="14" t="n"/>
      <c r="BD31" s="14" t="n"/>
      <c r="BE31" s="14" t="n"/>
      <c r="BF31" s="14" t="n"/>
      <c r="BG31" s="14" t="n"/>
      <c r="BH31" s="14" t="n"/>
      <c r="BI31" s="41">
        <f>IFERROR(AVERAGE(BB31:BH31),0)</f>
        <v/>
      </c>
      <c r="BJ31" s="41">
        <f>SUM(BB31:BH31)</f>
        <v/>
      </c>
      <c r="BM31">
        <f>IF(BB31="","",IFERROR(MIN(1,MAX(0,(BB31-Settings!$D$61)/(Settings!$E$61-Settings!$D$61))),0))</f>
        <v/>
      </c>
      <c r="BN31">
        <f>IF(BC31="","",IFERROR(MIN(1,MAX(0,(BC31-Settings!$D$61)/(Settings!$E$61-Settings!$D$61))),0))</f>
        <v/>
      </c>
      <c r="BO31">
        <f>IF(BD31="","",IFERROR(MIN(1,MAX(0,(BD31-Settings!$D$61)/(Settings!$E$61-Settings!$D$61))),0))</f>
        <v/>
      </c>
      <c r="BP31">
        <f>IF(BE31="","",IFERROR(MIN(1,MAX(0,(BE31-Settings!$D$61)/(Settings!$E$61-Settings!$D$61))),0))</f>
        <v/>
      </c>
      <c r="BQ31">
        <f>IF(BF31="","",IFERROR(MIN(1,MAX(0,(BF31-Settings!$D$61)/(Settings!$E$61-Settings!$D$61))),0))</f>
        <v/>
      </c>
      <c r="BR31">
        <f>IF(BG31="","",IFERROR(MIN(1,MAX(0,(BG31-Settings!$D$61)/(Settings!$E$61-Settings!$D$61))),0))</f>
        <v/>
      </c>
      <c r="BS31">
        <f>IF(BH31="","",IFERROR(MIN(1,MAX(0,(BH31-Settings!$D$61)/(Settings!$E$61-Settings!$D$61))),0))</f>
        <v/>
      </c>
      <c r="BT31">
        <f>IFERROR(MIN(1,MAX(0,(BI31-Settings!$D$61)/(Settings!$E$61-Settings!$D$61))),0)</f>
        <v/>
      </c>
    </row>
    <row r="32">
      <c r="J32" s="37">
        <f>IF(23*Settings!$C$7&gt;=1440,"",MOD(ROUND((Settings!$C$6+23*Settings!$C$7/1440)*1440,0),1440)/1440)</f>
        <v/>
      </c>
      <c r="K32" s="8" t="n"/>
      <c r="L32" s="8" t="n"/>
      <c r="M32" s="8" t="n"/>
      <c r="N32" s="8" t="n"/>
      <c r="P32" s="37">
        <f>IF(23*Settings!$C$7&gt;=1440,"",MOD(ROUND((Settings!$C$6+23*Settings!$C$7/1440)*1440,0),1440)/1440)</f>
        <v/>
      </c>
      <c r="Q32" s="8" t="n"/>
      <c r="R32" s="8" t="n"/>
      <c r="S32" s="8" t="n"/>
      <c r="T32" s="8" t="n"/>
      <c r="V32" s="37">
        <f>IF(23*Settings!$C$7&gt;=1440,"",MOD(ROUND((Settings!$C$6+23*Settings!$C$7/1440)*1440,0),1440)/1440)</f>
        <v/>
      </c>
      <c r="W32" s="8" t="n"/>
      <c r="X32" s="8" t="n"/>
      <c r="Y32" s="8" t="n"/>
      <c r="Z32" s="8" t="n"/>
      <c r="AB32" s="37">
        <f>IF(23*Settings!$C$7&gt;=1440,"",MOD(ROUND((Settings!$C$6+23*Settings!$C$7/1440)*1440,0),1440)/1440)</f>
        <v/>
      </c>
      <c r="AC32" s="8" t="n"/>
      <c r="AD32" s="8" t="n"/>
      <c r="AE32" s="8" t="n"/>
      <c r="AF32" s="8" t="n"/>
      <c r="AH32" s="37">
        <f>IF(23*Settings!$C$7&gt;=1440,"",MOD(ROUND((Settings!$C$6+23*Settings!$C$7/1440)*1440,0),1440)/1440)</f>
        <v/>
      </c>
      <c r="AI32" s="8" t="n"/>
      <c r="AJ32" s="8" t="n"/>
      <c r="AK32" s="8" t="n"/>
      <c r="AL32" s="8" t="n"/>
      <c r="AN32" s="37">
        <f>IF(23*Settings!$C$7&gt;=1440,"",MOD(ROUND((Settings!$C$6+23*Settings!$C$7/1440)*1440,0),1440)/1440)</f>
        <v/>
      </c>
      <c r="AO32" s="8" t="n"/>
      <c r="AP32" s="8" t="n"/>
      <c r="AQ32" s="8" t="n"/>
      <c r="AR32" s="8" t="n"/>
      <c r="AT32" s="37">
        <f>IF(23*Settings!$C$7&gt;=1440,"",MOD(ROUND((Settings!$C$6+23*Settings!$C$7/1440)*1440,0),1440)/1440)</f>
        <v/>
      </c>
      <c r="AU32" s="8" t="n"/>
      <c r="AV32" s="8" t="n"/>
      <c r="AW32" s="8" t="n"/>
      <c r="AX32" s="8" t="n"/>
      <c r="BA32" s="42" t="inlineStr">
        <is>
          <t>progress</t>
        </is>
      </c>
      <c r="BB32" s="43">
        <f>IF(BM31="","",REPT("█",ROUND(BM31*5,0))&amp;REPT("░",5-ROUND(BM31*5,0)))</f>
        <v/>
      </c>
      <c r="BC32" s="43">
        <f>IF(BN31="","",REPT("█",ROUND(BN31*5,0))&amp;REPT("░",5-ROUND(BN31*5,0)))</f>
        <v/>
      </c>
      <c r="BD32" s="43">
        <f>IF(BO31="","",REPT("█",ROUND(BO31*5,0))&amp;REPT("░",5-ROUND(BO31*5,0)))</f>
        <v/>
      </c>
      <c r="BE32" s="43">
        <f>IF(BP31="","",REPT("█",ROUND(BP31*5,0))&amp;REPT("░",5-ROUND(BP31*5,0)))</f>
        <v/>
      </c>
      <c r="BF32" s="43">
        <f>IF(BQ31="","",REPT("█",ROUND(BQ31*5,0))&amp;REPT("░",5-ROUND(BQ31*5,0)))</f>
        <v/>
      </c>
      <c r="BG32" s="43">
        <f>IF(BR31="","",REPT("█",ROUND(BR31*5,0))&amp;REPT("░",5-ROUND(BR31*5,0)))</f>
        <v/>
      </c>
      <c r="BH32" s="43">
        <f>IF(BS31="","",REPT("█",ROUND(BS31*5,0))&amp;REPT("░",5-ROUND(BS31*5,0)))</f>
        <v/>
      </c>
      <c r="BI32" s="43">
        <f>IF(BT31="","",REPT("█",ROUND(BT31*5,0))&amp;REPT("░",5-ROUND(BT31*5,0)))</f>
        <v/>
      </c>
    </row>
    <row r="33">
      <c r="J33" s="37">
        <f>IF(24*Settings!$C$7&gt;=1440,"",MOD(ROUND((Settings!$C$6+24*Settings!$C$7/1440)*1440,0),1440)/1440)</f>
        <v/>
      </c>
      <c r="K33" s="8" t="n"/>
      <c r="L33" s="8" t="n"/>
      <c r="M33" s="8" t="n"/>
      <c r="N33" s="8" t="n"/>
      <c r="P33" s="37">
        <f>IF(24*Settings!$C$7&gt;=1440,"",MOD(ROUND((Settings!$C$6+24*Settings!$C$7/1440)*1440,0),1440)/1440)</f>
        <v/>
      </c>
      <c r="Q33" s="8" t="n"/>
      <c r="R33" s="8" t="n"/>
      <c r="S33" s="8" t="n"/>
      <c r="T33" s="8" t="n"/>
      <c r="V33" s="37">
        <f>IF(24*Settings!$C$7&gt;=1440,"",MOD(ROUND((Settings!$C$6+24*Settings!$C$7/1440)*1440,0),1440)/1440)</f>
        <v/>
      </c>
      <c r="W33" s="8" t="n"/>
      <c r="X33" s="8" t="n"/>
      <c r="Y33" s="8" t="n"/>
      <c r="Z33" s="8" t="n"/>
      <c r="AB33" s="37">
        <f>IF(24*Settings!$C$7&gt;=1440,"",MOD(ROUND((Settings!$C$6+24*Settings!$C$7/1440)*1440,0),1440)/1440)</f>
        <v/>
      </c>
      <c r="AC33" s="8" t="n"/>
      <c r="AD33" s="8" t="n"/>
      <c r="AE33" s="8" t="n"/>
      <c r="AF33" s="8" t="n"/>
      <c r="AH33" s="37">
        <f>IF(24*Settings!$C$7&gt;=1440,"",MOD(ROUND((Settings!$C$6+24*Settings!$C$7/1440)*1440,0),1440)/1440)</f>
        <v/>
      </c>
      <c r="AI33" s="8" t="n"/>
      <c r="AJ33" s="8" t="n"/>
      <c r="AK33" s="8" t="n"/>
      <c r="AL33" s="8" t="n"/>
      <c r="AN33" s="37">
        <f>IF(24*Settings!$C$7&gt;=1440,"",MOD(ROUND((Settings!$C$6+24*Settings!$C$7/1440)*1440,0),1440)/1440)</f>
        <v/>
      </c>
      <c r="AO33" s="8" t="n"/>
      <c r="AP33" s="8" t="n"/>
      <c r="AQ33" s="8" t="n"/>
      <c r="AR33" s="8" t="n"/>
      <c r="AT33" s="37">
        <f>IF(24*Settings!$C$7&gt;=1440,"",MOD(ROUND((Settings!$C$6+24*Settings!$C$7/1440)*1440,0),1440)/1440)</f>
        <v/>
      </c>
      <c r="AU33" s="8" t="n"/>
      <c r="AV33" s="8" t="n"/>
      <c r="AW33" s="8" t="n"/>
      <c r="AX33" s="8" t="n"/>
      <c r="BA33" s="40">
        <f>Settings!$B$62&amp;IF(Settings!$C$62&lt;&gt;""," ("&amp;Settings!$C$62&amp;")","")</f>
        <v/>
      </c>
      <c r="BB33" s="14" t="n"/>
      <c r="BC33" s="14" t="n"/>
      <c r="BD33" s="14" t="n"/>
      <c r="BE33" s="14" t="n"/>
      <c r="BF33" s="14" t="n"/>
      <c r="BG33" s="14" t="n"/>
      <c r="BH33" s="14" t="n"/>
      <c r="BI33" s="41">
        <f>IFERROR(AVERAGE(BB33:BH33),0)</f>
        <v/>
      </c>
      <c r="BJ33" s="41">
        <f>SUM(BB33:BH33)</f>
        <v/>
      </c>
      <c r="BM33">
        <f>IF(BB33="","",IFERROR(MIN(1,MAX(0,(BB33-Settings!$D$62)/(Settings!$E$62-Settings!$D$62))),0))</f>
        <v/>
      </c>
      <c r="BN33">
        <f>IF(BC33="","",IFERROR(MIN(1,MAX(0,(BC33-Settings!$D$62)/(Settings!$E$62-Settings!$D$62))),0))</f>
        <v/>
      </c>
      <c r="BO33">
        <f>IF(BD33="","",IFERROR(MIN(1,MAX(0,(BD33-Settings!$D$62)/(Settings!$E$62-Settings!$D$62))),0))</f>
        <v/>
      </c>
      <c r="BP33">
        <f>IF(BE33="","",IFERROR(MIN(1,MAX(0,(BE33-Settings!$D$62)/(Settings!$E$62-Settings!$D$62))),0))</f>
        <v/>
      </c>
      <c r="BQ33">
        <f>IF(BF33="","",IFERROR(MIN(1,MAX(0,(BF33-Settings!$D$62)/(Settings!$E$62-Settings!$D$62))),0))</f>
        <v/>
      </c>
      <c r="BR33">
        <f>IF(BG33="","",IFERROR(MIN(1,MAX(0,(BG33-Settings!$D$62)/(Settings!$E$62-Settings!$D$62))),0))</f>
        <v/>
      </c>
      <c r="BS33">
        <f>IF(BH33="","",IFERROR(MIN(1,MAX(0,(BH33-Settings!$D$62)/(Settings!$E$62-Settings!$D$62))),0))</f>
        <v/>
      </c>
      <c r="BT33">
        <f>IFERROR(MIN(1,MAX(0,(BI33-Settings!$D$62)/(Settings!$E$62-Settings!$D$62))),0)</f>
        <v/>
      </c>
    </row>
    <row r="34">
      <c r="J34" s="37">
        <f>IF(25*Settings!$C$7&gt;=1440,"",MOD(ROUND((Settings!$C$6+25*Settings!$C$7/1440)*1440,0),1440)/1440)</f>
        <v/>
      </c>
      <c r="K34" s="8" t="n"/>
      <c r="L34" s="8" t="n"/>
      <c r="M34" s="8" t="n"/>
      <c r="N34" s="8" t="n"/>
      <c r="P34" s="37">
        <f>IF(25*Settings!$C$7&gt;=1440,"",MOD(ROUND((Settings!$C$6+25*Settings!$C$7/1440)*1440,0),1440)/1440)</f>
        <v/>
      </c>
      <c r="Q34" s="8" t="n"/>
      <c r="R34" s="8" t="n"/>
      <c r="S34" s="8" t="n"/>
      <c r="T34" s="8" t="n"/>
      <c r="V34" s="37">
        <f>IF(25*Settings!$C$7&gt;=1440,"",MOD(ROUND((Settings!$C$6+25*Settings!$C$7/1440)*1440,0),1440)/1440)</f>
        <v/>
      </c>
      <c r="W34" s="8" t="n"/>
      <c r="X34" s="8" t="n"/>
      <c r="Y34" s="8" t="n"/>
      <c r="Z34" s="8" t="n"/>
      <c r="AB34" s="37">
        <f>IF(25*Settings!$C$7&gt;=1440,"",MOD(ROUND((Settings!$C$6+25*Settings!$C$7/1440)*1440,0),1440)/1440)</f>
        <v/>
      </c>
      <c r="AC34" s="8" t="n"/>
      <c r="AD34" s="8" t="n"/>
      <c r="AE34" s="8" t="n"/>
      <c r="AF34" s="8" t="n"/>
      <c r="AH34" s="37">
        <f>IF(25*Settings!$C$7&gt;=1440,"",MOD(ROUND((Settings!$C$6+25*Settings!$C$7/1440)*1440,0),1440)/1440)</f>
        <v/>
      </c>
      <c r="AI34" s="8" t="n"/>
      <c r="AJ34" s="8" t="n"/>
      <c r="AK34" s="8" t="n"/>
      <c r="AL34" s="8" t="n"/>
      <c r="AN34" s="37">
        <f>IF(25*Settings!$C$7&gt;=1440,"",MOD(ROUND((Settings!$C$6+25*Settings!$C$7/1440)*1440,0),1440)/1440)</f>
        <v/>
      </c>
      <c r="AO34" s="8" t="n"/>
      <c r="AP34" s="8" t="n"/>
      <c r="AQ34" s="8" t="n"/>
      <c r="AR34" s="8" t="n"/>
      <c r="AT34" s="37">
        <f>IF(25*Settings!$C$7&gt;=1440,"",MOD(ROUND((Settings!$C$6+25*Settings!$C$7/1440)*1440,0),1440)/1440)</f>
        <v/>
      </c>
      <c r="AU34" s="8" t="n"/>
      <c r="AV34" s="8" t="n"/>
      <c r="AW34" s="8" t="n"/>
      <c r="AX34" s="8" t="n"/>
      <c r="BA34" s="42" t="inlineStr">
        <is>
          <t>progress</t>
        </is>
      </c>
      <c r="BB34" s="43">
        <f>IF(BM33="","",REPT("█",ROUND(BM33*5,0))&amp;REPT("░",5-ROUND(BM33*5,0)))</f>
        <v/>
      </c>
      <c r="BC34" s="43">
        <f>IF(BN33="","",REPT("█",ROUND(BN33*5,0))&amp;REPT("░",5-ROUND(BN33*5,0)))</f>
        <v/>
      </c>
      <c r="BD34" s="43">
        <f>IF(BO33="","",REPT("█",ROUND(BO33*5,0))&amp;REPT("░",5-ROUND(BO33*5,0)))</f>
        <v/>
      </c>
      <c r="BE34" s="43">
        <f>IF(BP33="","",REPT("█",ROUND(BP33*5,0))&amp;REPT("░",5-ROUND(BP33*5,0)))</f>
        <v/>
      </c>
      <c r="BF34" s="43">
        <f>IF(BQ33="","",REPT("█",ROUND(BQ33*5,0))&amp;REPT("░",5-ROUND(BQ33*5,0)))</f>
        <v/>
      </c>
      <c r="BG34" s="43">
        <f>IF(BR33="","",REPT("█",ROUND(BR33*5,0))&amp;REPT("░",5-ROUND(BR33*5,0)))</f>
        <v/>
      </c>
      <c r="BH34" s="43">
        <f>IF(BS33="","",REPT("█",ROUND(BS33*5,0))&amp;REPT("░",5-ROUND(BS33*5,0)))</f>
        <v/>
      </c>
      <c r="BI34" s="43">
        <f>IF(BT33="","",REPT("█",ROUND(BT33*5,0))&amp;REPT("░",5-ROUND(BT33*5,0)))</f>
        <v/>
      </c>
    </row>
    <row r="35">
      <c r="J35" s="37">
        <f>IF(26*Settings!$C$7&gt;=1440,"",MOD(ROUND((Settings!$C$6+26*Settings!$C$7/1440)*1440,0),1440)/1440)</f>
        <v/>
      </c>
      <c r="K35" s="8" t="n"/>
      <c r="L35" s="8" t="n"/>
      <c r="M35" s="8" t="n"/>
      <c r="N35" s="8" t="n"/>
      <c r="P35" s="37">
        <f>IF(26*Settings!$C$7&gt;=1440,"",MOD(ROUND((Settings!$C$6+26*Settings!$C$7/1440)*1440,0),1440)/1440)</f>
        <v/>
      </c>
      <c r="Q35" s="8" t="n"/>
      <c r="R35" s="8" t="n"/>
      <c r="S35" s="8" t="n"/>
      <c r="T35" s="8" t="n"/>
      <c r="V35" s="37">
        <f>IF(26*Settings!$C$7&gt;=1440,"",MOD(ROUND((Settings!$C$6+26*Settings!$C$7/1440)*1440,0),1440)/1440)</f>
        <v/>
      </c>
      <c r="W35" s="8" t="n"/>
      <c r="X35" s="8" t="n"/>
      <c r="Y35" s="8" t="n"/>
      <c r="Z35" s="8" t="n"/>
      <c r="AB35" s="37">
        <f>IF(26*Settings!$C$7&gt;=1440,"",MOD(ROUND((Settings!$C$6+26*Settings!$C$7/1440)*1440,0),1440)/1440)</f>
        <v/>
      </c>
      <c r="AC35" s="8" t="n"/>
      <c r="AD35" s="8" t="n"/>
      <c r="AE35" s="8" t="n"/>
      <c r="AF35" s="8" t="n"/>
      <c r="AH35" s="37">
        <f>IF(26*Settings!$C$7&gt;=1440,"",MOD(ROUND((Settings!$C$6+26*Settings!$C$7/1440)*1440,0),1440)/1440)</f>
        <v/>
      </c>
      <c r="AI35" s="8" t="n"/>
      <c r="AJ35" s="8" t="n"/>
      <c r="AK35" s="8" t="n"/>
      <c r="AL35" s="8" t="n"/>
      <c r="AN35" s="37">
        <f>IF(26*Settings!$C$7&gt;=1440,"",MOD(ROUND((Settings!$C$6+26*Settings!$C$7/1440)*1440,0),1440)/1440)</f>
        <v/>
      </c>
      <c r="AO35" s="8" t="n"/>
      <c r="AP35" s="8" t="n"/>
      <c r="AQ35" s="8" t="n"/>
      <c r="AR35" s="8" t="n"/>
      <c r="AT35" s="37">
        <f>IF(26*Settings!$C$7&gt;=1440,"",MOD(ROUND((Settings!$C$6+26*Settings!$C$7/1440)*1440,0),1440)/1440)</f>
        <v/>
      </c>
      <c r="AU35" s="8" t="n"/>
      <c r="AV35" s="8" t="n"/>
      <c r="AW35" s="8" t="n"/>
      <c r="AX35" s="8" t="n"/>
      <c r="BA35" s="40">
        <f>Settings!$B$63&amp;IF(Settings!$C$63&lt;&gt;""," ("&amp;Settings!$C$63&amp;")","")</f>
        <v/>
      </c>
      <c r="BB35" s="14" t="n"/>
      <c r="BC35" s="14" t="n"/>
      <c r="BD35" s="14" t="n"/>
      <c r="BE35" s="14" t="n"/>
      <c r="BF35" s="14" t="n"/>
      <c r="BG35" s="14" t="n"/>
      <c r="BH35" s="14" t="n"/>
      <c r="BI35" s="41">
        <f>IFERROR(AVERAGE(BB35:BH35),0)</f>
        <v/>
      </c>
      <c r="BJ35" s="41">
        <f>SUM(BB35:BH35)</f>
        <v/>
      </c>
      <c r="BM35">
        <f>IF(BB35="","",IFERROR(MIN(1,MAX(0,(BB35-Settings!$D$63)/(Settings!$E$63-Settings!$D$63))),0))</f>
        <v/>
      </c>
      <c r="BN35">
        <f>IF(BC35="","",IFERROR(MIN(1,MAX(0,(BC35-Settings!$D$63)/(Settings!$E$63-Settings!$D$63))),0))</f>
        <v/>
      </c>
      <c r="BO35">
        <f>IF(BD35="","",IFERROR(MIN(1,MAX(0,(BD35-Settings!$D$63)/(Settings!$E$63-Settings!$D$63))),0))</f>
        <v/>
      </c>
      <c r="BP35">
        <f>IF(BE35="","",IFERROR(MIN(1,MAX(0,(BE35-Settings!$D$63)/(Settings!$E$63-Settings!$D$63))),0))</f>
        <v/>
      </c>
      <c r="BQ35">
        <f>IF(BF35="","",IFERROR(MIN(1,MAX(0,(BF35-Settings!$D$63)/(Settings!$E$63-Settings!$D$63))),0))</f>
        <v/>
      </c>
      <c r="BR35">
        <f>IF(BG35="","",IFERROR(MIN(1,MAX(0,(BG35-Settings!$D$63)/(Settings!$E$63-Settings!$D$63))),0))</f>
        <v/>
      </c>
      <c r="BS35">
        <f>IF(BH35="","",IFERROR(MIN(1,MAX(0,(BH35-Settings!$D$63)/(Settings!$E$63-Settings!$D$63))),0))</f>
        <v/>
      </c>
      <c r="BT35">
        <f>IFERROR(MIN(1,MAX(0,(BI35-Settings!$D$63)/(Settings!$E$63-Settings!$D$63))),0)</f>
        <v/>
      </c>
    </row>
    <row r="36">
      <c r="J36" s="37">
        <f>IF(27*Settings!$C$7&gt;=1440,"",MOD(ROUND((Settings!$C$6+27*Settings!$C$7/1440)*1440,0),1440)/1440)</f>
        <v/>
      </c>
      <c r="K36" s="8" t="n"/>
      <c r="L36" s="8" t="n"/>
      <c r="M36" s="8" t="n"/>
      <c r="N36" s="8" t="n"/>
      <c r="P36" s="37">
        <f>IF(27*Settings!$C$7&gt;=1440,"",MOD(ROUND((Settings!$C$6+27*Settings!$C$7/1440)*1440,0),1440)/1440)</f>
        <v/>
      </c>
      <c r="Q36" s="8" t="n"/>
      <c r="R36" s="8" t="n"/>
      <c r="S36" s="8" t="n"/>
      <c r="T36" s="8" t="n"/>
      <c r="V36" s="37">
        <f>IF(27*Settings!$C$7&gt;=1440,"",MOD(ROUND((Settings!$C$6+27*Settings!$C$7/1440)*1440,0),1440)/1440)</f>
        <v/>
      </c>
      <c r="W36" s="8" t="n"/>
      <c r="X36" s="8" t="n"/>
      <c r="Y36" s="8" t="n"/>
      <c r="Z36" s="8" t="n"/>
      <c r="AB36" s="37">
        <f>IF(27*Settings!$C$7&gt;=1440,"",MOD(ROUND((Settings!$C$6+27*Settings!$C$7/1440)*1440,0),1440)/1440)</f>
        <v/>
      </c>
      <c r="AC36" s="8" t="n"/>
      <c r="AD36" s="8" t="n"/>
      <c r="AE36" s="8" t="n"/>
      <c r="AF36" s="8" t="n"/>
      <c r="AH36" s="37">
        <f>IF(27*Settings!$C$7&gt;=1440,"",MOD(ROUND((Settings!$C$6+27*Settings!$C$7/1440)*1440,0),1440)/1440)</f>
        <v/>
      </c>
      <c r="AI36" s="8" t="n"/>
      <c r="AJ36" s="8" t="n"/>
      <c r="AK36" s="8" t="n"/>
      <c r="AL36" s="8" t="n"/>
      <c r="AN36" s="37">
        <f>IF(27*Settings!$C$7&gt;=1440,"",MOD(ROUND((Settings!$C$6+27*Settings!$C$7/1440)*1440,0),1440)/1440)</f>
        <v/>
      </c>
      <c r="AO36" s="8" t="n"/>
      <c r="AP36" s="8" t="n"/>
      <c r="AQ36" s="8" t="n"/>
      <c r="AR36" s="8" t="n"/>
      <c r="AT36" s="37">
        <f>IF(27*Settings!$C$7&gt;=1440,"",MOD(ROUND((Settings!$C$6+27*Settings!$C$7/1440)*1440,0),1440)/1440)</f>
        <v/>
      </c>
      <c r="AU36" s="8" t="n"/>
      <c r="AV36" s="8" t="n"/>
      <c r="AW36" s="8" t="n"/>
      <c r="AX36" s="8" t="n"/>
      <c r="BA36" s="42" t="inlineStr">
        <is>
          <t>progress</t>
        </is>
      </c>
      <c r="BB36" s="43">
        <f>IF(BM35="","",REPT("█",ROUND(BM35*5,0))&amp;REPT("░",5-ROUND(BM35*5,0)))</f>
        <v/>
      </c>
      <c r="BC36" s="43">
        <f>IF(BN35="","",REPT("█",ROUND(BN35*5,0))&amp;REPT("░",5-ROUND(BN35*5,0)))</f>
        <v/>
      </c>
      <c r="BD36" s="43">
        <f>IF(BO35="","",REPT("█",ROUND(BO35*5,0))&amp;REPT("░",5-ROUND(BO35*5,0)))</f>
        <v/>
      </c>
      <c r="BE36" s="43">
        <f>IF(BP35="","",REPT("█",ROUND(BP35*5,0))&amp;REPT("░",5-ROUND(BP35*5,0)))</f>
        <v/>
      </c>
      <c r="BF36" s="43">
        <f>IF(BQ35="","",REPT("█",ROUND(BQ35*5,0))&amp;REPT("░",5-ROUND(BQ35*5,0)))</f>
        <v/>
      </c>
      <c r="BG36" s="43">
        <f>IF(BR35="","",REPT("█",ROUND(BR35*5,0))&amp;REPT("░",5-ROUND(BR35*5,0)))</f>
        <v/>
      </c>
      <c r="BH36" s="43">
        <f>IF(BS35="","",REPT("█",ROUND(BS35*5,0))&amp;REPT("░",5-ROUND(BS35*5,0)))</f>
        <v/>
      </c>
      <c r="BI36" s="43">
        <f>IF(BT35="","",REPT("█",ROUND(BT35*5,0))&amp;REPT("░",5-ROUND(BT35*5,0)))</f>
        <v/>
      </c>
    </row>
    <row r="37">
      <c r="J37" s="37">
        <f>IF(28*Settings!$C$7&gt;=1440,"",MOD(ROUND((Settings!$C$6+28*Settings!$C$7/1440)*1440,0),1440)/1440)</f>
        <v/>
      </c>
      <c r="K37" s="8" t="n"/>
      <c r="L37" s="8" t="n"/>
      <c r="M37" s="8" t="n"/>
      <c r="N37" s="8" t="n"/>
      <c r="P37" s="37">
        <f>IF(28*Settings!$C$7&gt;=1440,"",MOD(ROUND((Settings!$C$6+28*Settings!$C$7/1440)*1440,0),1440)/1440)</f>
        <v/>
      </c>
      <c r="Q37" s="8" t="n"/>
      <c r="R37" s="8" t="n"/>
      <c r="S37" s="8" t="n"/>
      <c r="T37" s="8" t="n"/>
      <c r="V37" s="37">
        <f>IF(28*Settings!$C$7&gt;=1440,"",MOD(ROUND((Settings!$C$6+28*Settings!$C$7/1440)*1440,0),1440)/1440)</f>
        <v/>
      </c>
      <c r="W37" s="8" t="n"/>
      <c r="X37" s="8" t="n"/>
      <c r="Y37" s="8" t="n"/>
      <c r="Z37" s="8" t="n"/>
      <c r="AB37" s="37">
        <f>IF(28*Settings!$C$7&gt;=1440,"",MOD(ROUND((Settings!$C$6+28*Settings!$C$7/1440)*1440,0),1440)/1440)</f>
        <v/>
      </c>
      <c r="AC37" s="8" t="n"/>
      <c r="AD37" s="8" t="n"/>
      <c r="AE37" s="8" t="n"/>
      <c r="AF37" s="8" t="n"/>
      <c r="AH37" s="37">
        <f>IF(28*Settings!$C$7&gt;=1440,"",MOD(ROUND((Settings!$C$6+28*Settings!$C$7/1440)*1440,0),1440)/1440)</f>
        <v/>
      </c>
      <c r="AI37" s="8" t="n"/>
      <c r="AJ37" s="8" t="n"/>
      <c r="AK37" s="8" t="n"/>
      <c r="AL37" s="8" t="n"/>
      <c r="AN37" s="37">
        <f>IF(28*Settings!$C$7&gt;=1440,"",MOD(ROUND((Settings!$C$6+28*Settings!$C$7/1440)*1440,0),1440)/1440)</f>
        <v/>
      </c>
      <c r="AO37" s="8" t="n"/>
      <c r="AP37" s="8" t="n"/>
      <c r="AQ37" s="8" t="n"/>
      <c r="AR37" s="8" t="n"/>
      <c r="AT37" s="37">
        <f>IF(28*Settings!$C$7&gt;=1440,"",MOD(ROUND((Settings!$C$6+28*Settings!$C$7/1440)*1440,0),1440)/1440)</f>
        <v/>
      </c>
      <c r="AU37" s="8" t="n"/>
      <c r="AV37" s="8" t="n"/>
      <c r="AW37" s="8" t="n"/>
      <c r="AX37" s="8" t="n"/>
      <c r="BA37" s="40">
        <f>Settings!$B$64&amp;IF(Settings!$C$64&lt;&gt;""," ("&amp;Settings!$C$64&amp;")","")</f>
        <v/>
      </c>
      <c r="BB37" s="14" t="n"/>
      <c r="BC37" s="14" t="n"/>
      <c r="BD37" s="14" t="n"/>
      <c r="BE37" s="14" t="n"/>
      <c r="BF37" s="14" t="n"/>
      <c r="BG37" s="14" t="n"/>
      <c r="BH37" s="14" t="n"/>
      <c r="BI37" s="41">
        <f>IFERROR(AVERAGE(BB37:BH37),0)</f>
        <v/>
      </c>
      <c r="BJ37" s="41">
        <f>SUM(BB37:BH37)</f>
        <v/>
      </c>
      <c r="BM37">
        <f>IF(BB37="","",IFERROR(MIN(1,MAX(0,(BB37-Settings!$D$64)/(Settings!$E$64-Settings!$D$64))),0))</f>
        <v/>
      </c>
      <c r="BN37">
        <f>IF(BC37="","",IFERROR(MIN(1,MAX(0,(BC37-Settings!$D$64)/(Settings!$E$64-Settings!$D$64))),0))</f>
        <v/>
      </c>
      <c r="BO37">
        <f>IF(BD37="","",IFERROR(MIN(1,MAX(0,(BD37-Settings!$D$64)/(Settings!$E$64-Settings!$D$64))),0))</f>
        <v/>
      </c>
      <c r="BP37">
        <f>IF(BE37="","",IFERROR(MIN(1,MAX(0,(BE37-Settings!$D$64)/(Settings!$E$64-Settings!$D$64))),0))</f>
        <v/>
      </c>
      <c r="BQ37">
        <f>IF(BF37="","",IFERROR(MIN(1,MAX(0,(BF37-Settings!$D$64)/(Settings!$E$64-Settings!$D$64))),0))</f>
        <v/>
      </c>
      <c r="BR37">
        <f>IF(BG37="","",IFERROR(MIN(1,MAX(0,(BG37-Settings!$D$64)/(Settings!$E$64-Settings!$D$64))),0))</f>
        <v/>
      </c>
      <c r="BS37">
        <f>IF(BH37="","",IFERROR(MIN(1,MAX(0,(BH37-Settings!$D$64)/(Settings!$E$64-Settings!$D$64))),0))</f>
        <v/>
      </c>
      <c r="BT37">
        <f>IFERROR(MIN(1,MAX(0,(BI37-Settings!$D$64)/(Settings!$E$64-Settings!$D$64))),0)</f>
        <v/>
      </c>
    </row>
    <row r="38">
      <c r="J38" s="37">
        <f>IF(29*Settings!$C$7&gt;=1440,"",MOD(ROUND((Settings!$C$6+29*Settings!$C$7/1440)*1440,0),1440)/1440)</f>
        <v/>
      </c>
      <c r="K38" s="8" t="n"/>
      <c r="L38" s="8" t="n"/>
      <c r="M38" s="8" t="n"/>
      <c r="N38" s="8" t="n"/>
      <c r="P38" s="37">
        <f>IF(29*Settings!$C$7&gt;=1440,"",MOD(ROUND((Settings!$C$6+29*Settings!$C$7/1440)*1440,0),1440)/1440)</f>
        <v/>
      </c>
      <c r="Q38" s="8" t="n"/>
      <c r="R38" s="8" t="n"/>
      <c r="S38" s="8" t="n"/>
      <c r="T38" s="8" t="n"/>
      <c r="V38" s="37">
        <f>IF(29*Settings!$C$7&gt;=1440,"",MOD(ROUND((Settings!$C$6+29*Settings!$C$7/1440)*1440,0),1440)/1440)</f>
        <v/>
      </c>
      <c r="W38" s="8" t="n"/>
      <c r="X38" s="8" t="n"/>
      <c r="Y38" s="8" t="n"/>
      <c r="Z38" s="8" t="n"/>
      <c r="AB38" s="37">
        <f>IF(29*Settings!$C$7&gt;=1440,"",MOD(ROUND((Settings!$C$6+29*Settings!$C$7/1440)*1440,0),1440)/1440)</f>
        <v/>
      </c>
      <c r="AC38" s="8" t="n"/>
      <c r="AD38" s="8" t="n"/>
      <c r="AE38" s="8" t="n"/>
      <c r="AF38" s="8" t="n"/>
      <c r="AH38" s="37">
        <f>IF(29*Settings!$C$7&gt;=1440,"",MOD(ROUND((Settings!$C$6+29*Settings!$C$7/1440)*1440,0),1440)/1440)</f>
        <v/>
      </c>
      <c r="AI38" s="8" t="n"/>
      <c r="AJ38" s="8" t="n"/>
      <c r="AK38" s="8" t="n"/>
      <c r="AL38" s="8" t="n"/>
      <c r="AN38" s="37">
        <f>IF(29*Settings!$C$7&gt;=1440,"",MOD(ROUND((Settings!$C$6+29*Settings!$C$7/1440)*1440,0),1440)/1440)</f>
        <v/>
      </c>
      <c r="AO38" s="8" t="n"/>
      <c r="AP38" s="8" t="n"/>
      <c r="AQ38" s="8" t="n"/>
      <c r="AR38" s="8" t="n"/>
      <c r="AT38" s="37">
        <f>IF(29*Settings!$C$7&gt;=1440,"",MOD(ROUND((Settings!$C$6+29*Settings!$C$7/1440)*1440,0),1440)/1440)</f>
        <v/>
      </c>
      <c r="AU38" s="8" t="n"/>
      <c r="AV38" s="8" t="n"/>
      <c r="AW38" s="8" t="n"/>
      <c r="AX38" s="8" t="n"/>
      <c r="BA38" s="42" t="inlineStr">
        <is>
          <t>progress</t>
        </is>
      </c>
      <c r="BB38" s="43">
        <f>IF(BM37="","",REPT("█",ROUND(BM37*5,0))&amp;REPT("░",5-ROUND(BM37*5,0)))</f>
        <v/>
      </c>
      <c r="BC38" s="43">
        <f>IF(BN37="","",REPT("█",ROUND(BN37*5,0))&amp;REPT("░",5-ROUND(BN37*5,0)))</f>
        <v/>
      </c>
      <c r="BD38" s="43">
        <f>IF(BO37="","",REPT("█",ROUND(BO37*5,0))&amp;REPT("░",5-ROUND(BO37*5,0)))</f>
        <v/>
      </c>
      <c r="BE38" s="43">
        <f>IF(BP37="","",REPT("█",ROUND(BP37*5,0))&amp;REPT("░",5-ROUND(BP37*5,0)))</f>
        <v/>
      </c>
      <c r="BF38" s="43">
        <f>IF(BQ37="","",REPT("█",ROUND(BQ37*5,0))&amp;REPT("░",5-ROUND(BQ37*5,0)))</f>
        <v/>
      </c>
      <c r="BG38" s="43">
        <f>IF(BR37="","",REPT("█",ROUND(BR37*5,0))&amp;REPT("░",5-ROUND(BR37*5,0)))</f>
        <v/>
      </c>
      <c r="BH38" s="43">
        <f>IF(BS37="","",REPT("█",ROUND(BS37*5,0))&amp;REPT("░",5-ROUND(BS37*5,0)))</f>
        <v/>
      </c>
      <c r="BI38" s="43">
        <f>IF(BT37="","",REPT("█",ROUND(BT37*5,0))&amp;REPT("░",5-ROUND(BT37*5,0)))</f>
        <v/>
      </c>
    </row>
    <row r="39">
      <c r="J39" s="37">
        <f>IF(30*Settings!$C$7&gt;=1440,"",MOD(ROUND((Settings!$C$6+30*Settings!$C$7/1440)*1440,0),1440)/1440)</f>
        <v/>
      </c>
      <c r="K39" s="8" t="n"/>
      <c r="L39" s="8" t="n"/>
      <c r="M39" s="8" t="n"/>
      <c r="N39" s="8" t="n"/>
      <c r="P39" s="37">
        <f>IF(30*Settings!$C$7&gt;=1440,"",MOD(ROUND((Settings!$C$6+30*Settings!$C$7/1440)*1440,0),1440)/1440)</f>
        <v/>
      </c>
      <c r="Q39" s="8" t="n"/>
      <c r="R39" s="8" t="n"/>
      <c r="S39" s="8" t="n"/>
      <c r="T39" s="8" t="n"/>
      <c r="V39" s="37">
        <f>IF(30*Settings!$C$7&gt;=1440,"",MOD(ROUND((Settings!$C$6+30*Settings!$C$7/1440)*1440,0),1440)/1440)</f>
        <v/>
      </c>
      <c r="W39" s="8" t="n"/>
      <c r="X39" s="8" t="n"/>
      <c r="Y39" s="8" t="n"/>
      <c r="Z39" s="8" t="n"/>
      <c r="AB39" s="37">
        <f>IF(30*Settings!$C$7&gt;=1440,"",MOD(ROUND((Settings!$C$6+30*Settings!$C$7/1440)*1440,0),1440)/1440)</f>
        <v/>
      </c>
      <c r="AC39" s="8" t="n"/>
      <c r="AD39" s="8" t="n"/>
      <c r="AE39" s="8" t="n"/>
      <c r="AF39" s="8" t="n"/>
      <c r="AH39" s="37">
        <f>IF(30*Settings!$C$7&gt;=1440,"",MOD(ROUND((Settings!$C$6+30*Settings!$C$7/1440)*1440,0),1440)/1440)</f>
        <v/>
      </c>
      <c r="AI39" s="8" t="n"/>
      <c r="AJ39" s="8" t="n"/>
      <c r="AK39" s="8" t="n"/>
      <c r="AL39" s="8" t="n"/>
      <c r="AN39" s="37">
        <f>IF(30*Settings!$C$7&gt;=1440,"",MOD(ROUND((Settings!$C$6+30*Settings!$C$7/1440)*1440,0),1440)/1440)</f>
        <v/>
      </c>
      <c r="AO39" s="8" t="n"/>
      <c r="AP39" s="8" t="n"/>
      <c r="AQ39" s="8" t="n"/>
      <c r="AR39" s="8" t="n"/>
      <c r="AT39" s="37">
        <f>IF(30*Settings!$C$7&gt;=1440,"",MOD(ROUND((Settings!$C$6+30*Settings!$C$7/1440)*1440,0),1440)/1440)</f>
        <v/>
      </c>
      <c r="AU39" s="8" t="n"/>
      <c r="AV39" s="8" t="n"/>
      <c r="AW39" s="8" t="n"/>
      <c r="AX39" s="8" t="n"/>
      <c r="BA39" s="40">
        <f>Settings!$B$65&amp;IF(Settings!$C$65&lt;&gt;""," ("&amp;Settings!$C$65&amp;")","")</f>
        <v/>
      </c>
      <c r="BB39" s="14" t="n"/>
      <c r="BC39" s="14" t="n"/>
      <c r="BD39" s="14" t="n"/>
      <c r="BE39" s="14" t="n"/>
      <c r="BF39" s="14" t="n"/>
      <c r="BG39" s="14" t="n"/>
      <c r="BH39" s="14" t="n"/>
      <c r="BI39" s="41">
        <f>IFERROR(AVERAGE(BB39:BH39),0)</f>
        <v/>
      </c>
      <c r="BJ39" s="41">
        <f>SUM(BB39:BH39)</f>
        <v/>
      </c>
      <c r="BM39">
        <f>IF(BB39="","",IFERROR(MIN(1,MAX(0,(BB39-Settings!$D$65)/(Settings!$E$65-Settings!$D$65))),0))</f>
        <v/>
      </c>
      <c r="BN39">
        <f>IF(BC39="","",IFERROR(MIN(1,MAX(0,(BC39-Settings!$D$65)/(Settings!$E$65-Settings!$D$65))),0))</f>
        <v/>
      </c>
      <c r="BO39">
        <f>IF(BD39="","",IFERROR(MIN(1,MAX(0,(BD39-Settings!$D$65)/(Settings!$E$65-Settings!$D$65))),0))</f>
        <v/>
      </c>
      <c r="BP39">
        <f>IF(BE39="","",IFERROR(MIN(1,MAX(0,(BE39-Settings!$D$65)/(Settings!$E$65-Settings!$D$65))),0))</f>
        <v/>
      </c>
      <c r="BQ39">
        <f>IF(BF39="","",IFERROR(MIN(1,MAX(0,(BF39-Settings!$D$65)/(Settings!$E$65-Settings!$D$65))),0))</f>
        <v/>
      </c>
      <c r="BR39">
        <f>IF(BG39="","",IFERROR(MIN(1,MAX(0,(BG39-Settings!$D$65)/(Settings!$E$65-Settings!$D$65))),0))</f>
        <v/>
      </c>
      <c r="BS39">
        <f>IF(BH39="","",IFERROR(MIN(1,MAX(0,(BH39-Settings!$D$65)/(Settings!$E$65-Settings!$D$65))),0))</f>
        <v/>
      </c>
      <c r="BT39">
        <f>IFERROR(MIN(1,MAX(0,(BI39-Settings!$D$65)/(Settings!$E$65-Settings!$D$65))),0)</f>
        <v/>
      </c>
    </row>
    <row r="40">
      <c r="J40" s="37">
        <f>IF(31*Settings!$C$7&gt;=1440,"",MOD(ROUND((Settings!$C$6+31*Settings!$C$7/1440)*1440,0),1440)/1440)</f>
        <v/>
      </c>
      <c r="K40" s="8" t="n"/>
      <c r="L40" s="8" t="n"/>
      <c r="M40" s="8" t="n"/>
      <c r="N40" s="8" t="n"/>
      <c r="P40" s="37">
        <f>IF(31*Settings!$C$7&gt;=1440,"",MOD(ROUND((Settings!$C$6+31*Settings!$C$7/1440)*1440,0),1440)/1440)</f>
        <v/>
      </c>
      <c r="Q40" s="8" t="n"/>
      <c r="R40" s="8" t="n"/>
      <c r="S40" s="8" t="n"/>
      <c r="T40" s="8" t="n"/>
      <c r="V40" s="37">
        <f>IF(31*Settings!$C$7&gt;=1440,"",MOD(ROUND((Settings!$C$6+31*Settings!$C$7/1440)*1440,0),1440)/1440)</f>
        <v/>
      </c>
      <c r="W40" s="8" t="n"/>
      <c r="X40" s="8" t="n"/>
      <c r="Y40" s="8" t="n"/>
      <c r="Z40" s="8" t="n"/>
      <c r="AB40" s="37">
        <f>IF(31*Settings!$C$7&gt;=1440,"",MOD(ROUND((Settings!$C$6+31*Settings!$C$7/1440)*1440,0),1440)/1440)</f>
        <v/>
      </c>
      <c r="AC40" s="8" t="n"/>
      <c r="AD40" s="8" t="n"/>
      <c r="AE40" s="8" t="n"/>
      <c r="AF40" s="8" t="n"/>
      <c r="AH40" s="37">
        <f>IF(31*Settings!$C$7&gt;=1440,"",MOD(ROUND((Settings!$C$6+31*Settings!$C$7/1440)*1440,0),1440)/1440)</f>
        <v/>
      </c>
      <c r="AI40" s="8" t="n"/>
      <c r="AJ40" s="8" t="n"/>
      <c r="AK40" s="8" t="n"/>
      <c r="AL40" s="8" t="n"/>
      <c r="AN40" s="37">
        <f>IF(31*Settings!$C$7&gt;=1440,"",MOD(ROUND((Settings!$C$6+31*Settings!$C$7/1440)*1440,0),1440)/1440)</f>
        <v/>
      </c>
      <c r="AO40" s="8" t="n"/>
      <c r="AP40" s="8" t="n"/>
      <c r="AQ40" s="8" t="n"/>
      <c r="AR40" s="8" t="n"/>
      <c r="AT40" s="37">
        <f>IF(31*Settings!$C$7&gt;=1440,"",MOD(ROUND((Settings!$C$6+31*Settings!$C$7/1440)*1440,0),1440)/1440)</f>
        <v/>
      </c>
      <c r="AU40" s="8" t="n"/>
      <c r="AV40" s="8" t="n"/>
      <c r="AW40" s="8" t="n"/>
      <c r="AX40" s="8" t="n"/>
      <c r="BA40" s="42" t="inlineStr">
        <is>
          <t>progress</t>
        </is>
      </c>
      <c r="BB40" s="43">
        <f>IF(BM39="","",REPT("█",ROUND(BM39*5,0))&amp;REPT("░",5-ROUND(BM39*5,0)))</f>
        <v/>
      </c>
      <c r="BC40" s="43">
        <f>IF(BN39="","",REPT("█",ROUND(BN39*5,0))&amp;REPT("░",5-ROUND(BN39*5,0)))</f>
        <v/>
      </c>
      <c r="BD40" s="43">
        <f>IF(BO39="","",REPT("█",ROUND(BO39*5,0))&amp;REPT("░",5-ROUND(BO39*5,0)))</f>
        <v/>
      </c>
      <c r="BE40" s="43">
        <f>IF(BP39="","",REPT("█",ROUND(BP39*5,0))&amp;REPT("░",5-ROUND(BP39*5,0)))</f>
        <v/>
      </c>
      <c r="BF40" s="43">
        <f>IF(BQ39="","",REPT("█",ROUND(BQ39*5,0))&amp;REPT("░",5-ROUND(BQ39*5,0)))</f>
        <v/>
      </c>
      <c r="BG40" s="43">
        <f>IF(BR39="","",REPT("█",ROUND(BR39*5,0))&amp;REPT("░",5-ROUND(BR39*5,0)))</f>
        <v/>
      </c>
      <c r="BH40" s="43">
        <f>IF(BS39="","",REPT("█",ROUND(BS39*5,0))&amp;REPT("░",5-ROUND(BS39*5,0)))</f>
        <v/>
      </c>
      <c r="BI40" s="43">
        <f>IF(BT39="","",REPT("█",ROUND(BT39*5,0))&amp;REPT("░",5-ROUND(BT39*5,0)))</f>
        <v/>
      </c>
    </row>
    <row r="41">
      <c r="J41" s="37">
        <f>IF(32*Settings!$C$7&gt;=1440,"",MOD(ROUND((Settings!$C$6+32*Settings!$C$7/1440)*1440,0),1440)/1440)</f>
        <v/>
      </c>
      <c r="K41" s="8" t="n"/>
      <c r="L41" s="8" t="n"/>
      <c r="M41" s="8" t="n"/>
      <c r="N41" s="8" t="n"/>
      <c r="P41" s="37">
        <f>IF(32*Settings!$C$7&gt;=1440,"",MOD(ROUND((Settings!$C$6+32*Settings!$C$7/1440)*1440,0),1440)/1440)</f>
        <v/>
      </c>
      <c r="Q41" s="8" t="n"/>
      <c r="R41" s="8" t="n"/>
      <c r="S41" s="8" t="n"/>
      <c r="T41" s="8" t="n"/>
      <c r="V41" s="37">
        <f>IF(32*Settings!$C$7&gt;=1440,"",MOD(ROUND((Settings!$C$6+32*Settings!$C$7/1440)*1440,0),1440)/1440)</f>
        <v/>
      </c>
      <c r="W41" s="8" t="n"/>
      <c r="X41" s="8" t="n"/>
      <c r="Y41" s="8" t="n"/>
      <c r="Z41" s="8" t="n"/>
      <c r="AB41" s="37">
        <f>IF(32*Settings!$C$7&gt;=1440,"",MOD(ROUND((Settings!$C$6+32*Settings!$C$7/1440)*1440,0),1440)/1440)</f>
        <v/>
      </c>
      <c r="AC41" s="8" t="n"/>
      <c r="AD41" s="8" t="n"/>
      <c r="AE41" s="8" t="n"/>
      <c r="AF41" s="8" t="n"/>
      <c r="AH41" s="37">
        <f>IF(32*Settings!$C$7&gt;=1440,"",MOD(ROUND((Settings!$C$6+32*Settings!$C$7/1440)*1440,0),1440)/1440)</f>
        <v/>
      </c>
      <c r="AI41" s="8" t="n"/>
      <c r="AJ41" s="8" t="n"/>
      <c r="AK41" s="8" t="n"/>
      <c r="AL41" s="8" t="n"/>
      <c r="AN41" s="37">
        <f>IF(32*Settings!$C$7&gt;=1440,"",MOD(ROUND((Settings!$C$6+32*Settings!$C$7/1440)*1440,0),1440)/1440)</f>
        <v/>
      </c>
      <c r="AO41" s="8" t="n"/>
      <c r="AP41" s="8" t="n"/>
      <c r="AQ41" s="8" t="n"/>
      <c r="AR41" s="8" t="n"/>
      <c r="AT41" s="37">
        <f>IF(32*Settings!$C$7&gt;=1440,"",MOD(ROUND((Settings!$C$6+32*Settings!$C$7/1440)*1440,0),1440)/1440)</f>
        <v/>
      </c>
      <c r="AU41" s="8" t="n"/>
      <c r="AV41" s="8" t="n"/>
      <c r="AW41" s="8" t="n"/>
      <c r="AX41" s="8" t="n"/>
    </row>
    <row r="42">
      <c r="J42" s="37">
        <f>IF(33*Settings!$C$7&gt;=1440,"",MOD(ROUND((Settings!$C$6+33*Settings!$C$7/1440)*1440,0),1440)/1440)</f>
        <v/>
      </c>
      <c r="K42" s="8" t="n"/>
      <c r="L42" s="8" t="n"/>
      <c r="M42" s="8" t="n"/>
      <c r="N42" s="8" t="n"/>
      <c r="P42" s="37">
        <f>IF(33*Settings!$C$7&gt;=1440,"",MOD(ROUND((Settings!$C$6+33*Settings!$C$7/1440)*1440,0),1440)/1440)</f>
        <v/>
      </c>
      <c r="Q42" s="8" t="n"/>
      <c r="R42" s="8" t="n"/>
      <c r="S42" s="8" t="n"/>
      <c r="T42" s="8" t="n"/>
      <c r="V42" s="37">
        <f>IF(33*Settings!$C$7&gt;=1440,"",MOD(ROUND((Settings!$C$6+33*Settings!$C$7/1440)*1440,0),1440)/1440)</f>
        <v/>
      </c>
      <c r="W42" s="8" t="n"/>
      <c r="X42" s="8" t="n"/>
      <c r="Y42" s="8" t="n"/>
      <c r="Z42" s="8" t="n"/>
      <c r="AB42" s="37">
        <f>IF(33*Settings!$C$7&gt;=1440,"",MOD(ROUND((Settings!$C$6+33*Settings!$C$7/1440)*1440,0),1440)/1440)</f>
        <v/>
      </c>
      <c r="AC42" s="8" t="n"/>
      <c r="AD42" s="8" t="n"/>
      <c r="AE42" s="8" t="n"/>
      <c r="AF42" s="8" t="n"/>
      <c r="AH42" s="37">
        <f>IF(33*Settings!$C$7&gt;=1440,"",MOD(ROUND((Settings!$C$6+33*Settings!$C$7/1440)*1440,0),1440)/1440)</f>
        <v/>
      </c>
      <c r="AI42" s="8" t="n"/>
      <c r="AJ42" s="8" t="n"/>
      <c r="AK42" s="8" t="n"/>
      <c r="AL42" s="8" t="n"/>
      <c r="AN42" s="37">
        <f>IF(33*Settings!$C$7&gt;=1440,"",MOD(ROUND((Settings!$C$6+33*Settings!$C$7/1440)*1440,0),1440)/1440)</f>
        <v/>
      </c>
      <c r="AO42" s="8" t="n"/>
      <c r="AP42" s="8" t="n"/>
      <c r="AQ42" s="8" t="n"/>
      <c r="AR42" s="8" t="n"/>
      <c r="AT42" s="37">
        <f>IF(33*Settings!$C$7&gt;=1440,"",MOD(ROUND((Settings!$C$6+33*Settings!$C$7/1440)*1440,0),1440)/1440)</f>
        <v/>
      </c>
      <c r="AU42" s="8" t="n"/>
      <c r="AV42" s="8" t="n"/>
      <c r="AW42" s="8" t="n"/>
      <c r="AX42" s="8" t="n"/>
    </row>
    <row r="43">
      <c r="J43" s="37">
        <f>IF(34*Settings!$C$7&gt;=1440,"",MOD(ROUND((Settings!$C$6+34*Settings!$C$7/1440)*1440,0),1440)/1440)</f>
        <v/>
      </c>
      <c r="K43" s="8" t="n"/>
      <c r="L43" s="8" t="n"/>
      <c r="M43" s="8" t="n"/>
      <c r="N43" s="8" t="n"/>
      <c r="P43" s="37">
        <f>IF(34*Settings!$C$7&gt;=1440,"",MOD(ROUND((Settings!$C$6+34*Settings!$C$7/1440)*1440,0),1440)/1440)</f>
        <v/>
      </c>
      <c r="Q43" s="8" t="n"/>
      <c r="R43" s="8" t="n"/>
      <c r="S43" s="8" t="n"/>
      <c r="T43" s="8" t="n"/>
      <c r="V43" s="37">
        <f>IF(34*Settings!$C$7&gt;=1440,"",MOD(ROUND((Settings!$C$6+34*Settings!$C$7/1440)*1440,0),1440)/1440)</f>
        <v/>
      </c>
      <c r="W43" s="8" t="n"/>
      <c r="X43" s="8" t="n"/>
      <c r="Y43" s="8" t="n"/>
      <c r="Z43" s="8" t="n"/>
      <c r="AB43" s="37">
        <f>IF(34*Settings!$C$7&gt;=1440,"",MOD(ROUND((Settings!$C$6+34*Settings!$C$7/1440)*1440,0),1440)/1440)</f>
        <v/>
      </c>
      <c r="AC43" s="8" t="n"/>
      <c r="AD43" s="8" t="n"/>
      <c r="AE43" s="8" t="n"/>
      <c r="AF43" s="8" t="n"/>
      <c r="AH43" s="37">
        <f>IF(34*Settings!$C$7&gt;=1440,"",MOD(ROUND((Settings!$C$6+34*Settings!$C$7/1440)*1440,0),1440)/1440)</f>
        <v/>
      </c>
      <c r="AI43" s="8" t="n"/>
      <c r="AJ43" s="8" t="n"/>
      <c r="AK43" s="8" t="n"/>
      <c r="AL43" s="8" t="n"/>
      <c r="AN43" s="37">
        <f>IF(34*Settings!$C$7&gt;=1440,"",MOD(ROUND((Settings!$C$6+34*Settings!$C$7/1440)*1440,0),1440)/1440)</f>
        <v/>
      </c>
      <c r="AO43" s="8" t="n"/>
      <c r="AP43" s="8" t="n"/>
      <c r="AQ43" s="8" t="n"/>
      <c r="AR43" s="8" t="n"/>
      <c r="AT43" s="37">
        <f>IF(34*Settings!$C$7&gt;=1440,"",MOD(ROUND((Settings!$C$6+34*Settings!$C$7/1440)*1440,0),1440)/1440)</f>
        <v/>
      </c>
      <c r="AU43" s="8" t="n"/>
      <c r="AV43" s="8" t="n"/>
      <c r="AW43" s="8" t="n"/>
      <c r="AX43" s="8" t="n"/>
    </row>
    <row r="44">
      <c r="J44" s="37">
        <f>IF(35*Settings!$C$7&gt;=1440,"",MOD(ROUND((Settings!$C$6+35*Settings!$C$7/1440)*1440,0),1440)/1440)</f>
        <v/>
      </c>
      <c r="K44" s="8" t="n"/>
      <c r="L44" s="8" t="n"/>
      <c r="M44" s="8" t="n"/>
      <c r="N44" s="8" t="n"/>
      <c r="P44" s="37">
        <f>IF(35*Settings!$C$7&gt;=1440,"",MOD(ROUND((Settings!$C$6+35*Settings!$C$7/1440)*1440,0),1440)/1440)</f>
        <v/>
      </c>
      <c r="Q44" s="8" t="n"/>
      <c r="R44" s="8" t="n"/>
      <c r="S44" s="8" t="n"/>
      <c r="T44" s="8" t="n"/>
      <c r="V44" s="37">
        <f>IF(35*Settings!$C$7&gt;=1440,"",MOD(ROUND((Settings!$C$6+35*Settings!$C$7/1440)*1440,0),1440)/1440)</f>
        <v/>
      </c>
      <c r="W44" s="8" t="n"/>
      <c r="X44" s="8" t="n"/>
      <c r="Y44" s="8" t="n"/>
      <c r="Z44" s="8" t="n"/>
      <c r="AB44" s="37">
        <f>IF(35*Settings!$C$7&gt;=1440,"",MOD(ROUND((Settings!$C$6+35*Settings!$C$7/1440)*1440,0),1440)/1440)</f>
        <v/>
      </c>
      <c r="AC44" s="8" t="n"/>
      <c r="AD44" s="8" t="n"/>
      <c r="AE44" s="8" t="n"/>
      <c r="AF44" s="8" t="n"/>
      <c r="AH44" s="37">
        <f>IF(35*Settings!$C$7&gt;=1440,"",MOD(ROUND((Settings!$C$6+35*Settings!$C$7/1440)*1440,0),1440)/1440)</f>
        <v/>
      </c>
      <c r="AI44" s="8" t="n"/>
      <c r="AJ44" s="8" t="n"/>
      <c r="AK44" s="8" t="n"/>
      <c r="AL44" s="8" t="n"/>
      <c r="AN44" s="37">
        <f>IF(35*Settings!$C$7&gt;=1440,"",MOD(ROUND((Settings!$C$6+35*Settings!$C$7/1440)*1440,0),1440)/1440)</f>
        <v/>
      </c>
      <c r="AO44" s="8" t="n"/>
      <c r="AP44" s="8" t="n"/>
      <c r="AQ44" s="8" t="n"/>
      <c r="AR44" s="8" t="n"/>
      <c r="AT44" s="37">
        <f>IF(35*Settings!$C$7&gt;=1440,"",MOD(ROUND((Settings!$C$6+35*Settings!$C$7/1440)*1440,0),1440)/1440)</f>
        <v/>
      </c>
      <c r="AU44" s="8" t="n"/>
      <c r="AV44" s="8" t="n"/>
      <c r="AW44" s="8" t="n"/>
      <c r="AX44" s="8" t="n"/>
    </row>
    <row r="46">
      <c r="J46" s="6">
        <f>IF(Settings!$C$95="",Settings!$B$95,Settings!$C$95)</f>
        <v/>
      </c>
      <c r="K46" s="6" t="n"/>
      <c r="L46" s="6" t="n"/>
      <c r="M46" s="6" t="n"/>
      <c r="N46" s="6" t="n"/>
      <c r="P46" s="6">
        <f>IF(Settings!$C$95="",Settings!$B$95,Settings!$C$95)</f>
        <v/>
      </c>
      <c r="Q46" s="6" t="n"/>
      <c r="R46" s="6" t="n"/>
      <c r="S46" s="6" t="n"/>
      <c r="T46" s="6" t="n"/>
      <c r="V46" s="6">
        <f>IF(Settings!$C$95="",Settings!$B$95,Settings!$C$95)</f>
        <v/>
      </c>
      <c r="W46" s="6" t="n"/>
      <c r="X46" s="6" t="n"/>
      <c r="Y46" s="6" t="n"/>
      <c r="Z46" s="6" t="n"/>
      <c r="AB46" s="6">
        <f>IF(Settings!$C$95="",Settings!$B$95,Settings!$C$95)</f>
        <v/>
      </c>
      <c r="AC46" s="6" t="n"/>
      <c r="AD46" s="6" t="n"/>
      <c r="AE46" s="6" t="n"/>
      <c r="AF46" s="6" t="n"/>
      <c r="AH46" s="6">
        <f>IF(Settings!$C$95="",Settings!$B$95,Settings!$C$95)</f>
        <v/>
      </c>
      <c r="AI46" s="6" t="n"/>
      <c r="AJ46" s="6" t="n"/>
      <c r="AK46" s="6" t="n"/>
      <c r="AL46" s="6" t="n"/>
      <c r="AN46" s="6">
        <f>IF(Settings!$C$95="",Settings!$B$95,Settings!$C$95)</f>
        <v/>
      </c>
      <c r="AO46" s="6" t="n"/>
      <c r="AP46" s="6" t="n"/>
      <c r="AQ46" s="6" t="n"/>
      <c r="AR46" s="6" t="n"/>
      <c r="AT46" s="6">
        <f>IF(Settings!$C$95="",Settings!$B$95,Settings!$C$95)</f>
        <v/>
      </c>
      <c r="AU46" s="6" t="n"/>
      <c r="AV46" s="6" t="n"/>
      <c r="AW46" s="6" t="n"/>
      <c r="AX46" s="6" t="n"/>
    </row>
    <row r="47">
      <c r="J47" s="14" t="b">
        <v>0</v>
      </c>
      <c r="K47" s="8" t="n"/>
      <c r="L47" s="8" t="n"/>
      <c r="M47" s="8" t="n"/>
      <c r="N47" s="8" t="n"/>
      <c r="P47" s="14" t="b">
        <v>0</v>
      </c>
      <c r="Q47" s="8" t="n"/>
      <c r="R47" s="8" t="n"/>
      <c r="S47" s="8" t="n"/>
      <c r="T47" s="8" t="n"/>
      <c r="V47" s="14" t="b">
        <v>0</v>
      </c>
      <c r="W47" s="8" t="n"/>
      <c r="X47" s="8" t="n"/>
      <c r="Y47" s="8" t="n"/>
      <c r="Z47" s="8" t="n"/>
      <c r="AB47" s="14" t="b">
        <v>0</v>
      </c>
      <c r="AC47" s="8" t="n"/>
      <c r="AD47" s="8" t="n"/>
      <c r="AE47" s="8" t="n"/>
      <c r="AF47" s="8" t="n"/>
      <c r="AH47" s="14" t="b">
        <v>0</v>
      </c>
      <c r="AI47" s="8" t="n"/>
      <c r="AJ47" s="8" t="n"/>
      <c r="AK47" s="8" t="n"/>
      <c r="AL47" s="8" t="n"/>
      <c r="AN47" s="14" t="b">
        <v>0</v>
      </c>
      <c r="AO47" s="8" t="n"/>
      <c r="AP47" s="8" t="n"/>
      <c r="AQ47" s="8" t="n"/>
      <c r="AR47" s="8" t="n"/>
      <c r="AT47" s="14" t="b">
        <v>0</v>
      </c>
      <c r="AU47" s="8" t="n"/>
      <c r="AV47" s="8" t="n"/>
      <c r="AW47" s="8" t="n"/>
      <c r="AX47" s="8" t="n"/>
    </row>
    <row r="48">
      <c r="J48" s="14" t="b">
        <v>0</v>
      </c>
      <c r="K48" s="8" t="n"/>
      <c r="L48" s="8" t="n"/>
      <c r="M48" s="8" t="n"/>
      <c r="N48" s="8" t="n"/>
      <c r="P48" s="14" t="b">
        <v>0</v>
      </c>
      <c r="Q48" s="8" t="n"/>
      <c r="R48" s="8" t="n"/>
      <c r="S48" s="8" t="n"/>
      <c r="T48" s="8" t="n"/>
      <c r="V48" s="14" t="b">
        <v>0</v>
      </c>
      <c r="W48" s="8" t="n"/>
      <c r="X48" s="8" t="n"/>
      <c r="Y48" s="8" t="n"/>
      <c r="Z48" s="8" t="n"/>
      <c r="AB48" s="14" t="b">
        <v>0</v>
      </c>
      <c r="AC48" s="8" t="n"/>
      <c r="AD48" s="8" t="n"/>
      <c r="AE48" s="8" t="n"/>
      <c r="AF48" s="8" t="n"/>
      <c r="AH48" s="14" t="b">
        <v>0</v>
      </c>
      <c r="AI48" s="8" t="n"/>
      <c r="AJ48" s="8" t="n"/>
      <c r="AK48" s="8" t="n"/>
      <c r="AL48" s="8" t="n"/>
      <c r="AN48" s="14" t="b">
        <v>0</v>
      </c>
      <c r="AO48" s="8" t="n"/>
      <c r="AP48" s="8" t="n"/>
      <c r="AQ48" s="8" t="n"/>
      <c r="AR48" s="8" t="n"/>
      <c r="AT48" s="14" t="b">
        <v>0</v>
      </c>
      <c r="AU48" s="8" t="n"/>
      <c r="AV48" s="8" t="n"/>
      <c r="AW48" s="8" t="n"/>
      <c r="AX48" s="8" t="n"/>
    </row>
    <row r="49">
      <c r="J49" s="14" t="b">
        <v>0</v>
      </c>
      <c r="K49" s="8" t="n"/>
      <c r="L49" s="8" t="n"/>
      <c r="M49" s="8" t="n"/>
      <c r="N49" s="8" t="n"/>
      <c r="P49" s="14" t="b">
        <v>0</v>
      </c>
      <c r="Q49" s="8" t="n"/>
      <c r="R49" s="8" t="n"/>
      <c r="S49" s="8" t="n"/>
      <c r="T49" s="8" t="n"/>
      <c r="V49" s="14" t="b">
        <v>0</v>
      </c>
      <c r="W49" s="8" t="n"/>
      <c r="X49" s="8" t="n"/>
      <c r="Y49" s="8" t="n"/>
      <c r="Z49" s="8" t="n"/>
      <c r="AB49" s="14" t="b">
        <v>0</v>
      </c>
      <c r="AC49" s="8" t="n"/>
      <c r="AD49" s="8" t="n"/>
      <c r="AE49" s="8" t="n"/>
      <c r="AF49" s="8" t="n"/>
      <c r="AH49" s="14" t="b">
        <v>0</v>
      </c>
      <c r="AI49" s="8" t="n"/>
      <c r="AJ49" s="8" t="n"/>
      <c r="AK49" s="8" t="n"/>
      <c r="AL49" s="8" t="n"/>
      <c r="AN49" s="14" t="b">
        <v>0</v>
      </c>
      <c r="AO49" s="8" t="n"/>
      <c r="AP49" s="8" t="n"/>
      <c r="AQ49" s="8" t="n"/>
      <c r="AR49" s="8" t="n"/>
      <c r="AT49" s="14" t="b">
        <v>0</v>
      </c>
      <c r="AU49" s="8" t="n"/>
      <c r="AV49" s="8" t="n"/>
      <c r="AW49" s="8" t="n"/>
      <c r="AX49" s="8" t="n"/>
    </row>
    <row r="50">
      <c r="J50" s="14" t="b">
        <v>0</v>
      </c>
      <c r="K50" s="8" t="n"/>
      <c r="L50" s="8" t="n"/>
      <c r="M50" s="8" t="n"/>
      <c r="N50" s="8" t="n"/>
      <c r="P50" s="14" t="b">
        <v>0</v>
      </c>
      <c r="Q50" s="8" t="n"/>
      <c r="R50" s="8" t="n"/>
      <c r="S50" s="8" t="n"/>
      <c r="T50" s="8" t="n"/>
      <c r="V50" s="14" t="b">
        <v>0</v>
      </c>
      <c r="W50" s="8" t="n"/>
      <c r="X50" s="8" t="n"/>
      <c r="Y50" s="8" t="n"/>
      <c r="Z50" s="8" t="n"/>
      <c r="AB50" s="14" t="b">
        <v>0</v>
      </c>
      <c r="AC50" s="8" t="n"/>
      <c r="AD50" s="8" t="n"/>
      <c r="AE50" s="8" t="n"/>
      <c r="AF50" s="8" t="n"/>
      <c r="AH50" s="14" t="b">
        <v>0</v>
      </c>
      <c r="AI50" s="8" t="n"/>
      <c r="AJ50" s="8" t="n"/>
      <c r="AK50" s="8" t="n"/>
      <c r="AL50" s="8" t="n"/>
      <c r="AN50" s="14" t="b">
        <v>0</v>
      </c>
      <c r="AO50" s="8" t="n"/>
      <c r="AP50" s="8" t="n"/>
      <c r="AQ50" s="8" t="n"/>
      <c r="AR50" s="8" t="n"/>
      <c r="AT50" s="14" t="b">
        <v>0</v>
      </c>
      <c r="AU50" s="8" t="n"/>
      <c r="AV50" s="8" t="n"/>
      <c r="AW50" s="8" t="n"/>
      <c r="AX50" s="8" t="n"/>
    </row>
    <row r="51">
      <c r="J51" s="14" t="b">
        <v>0</v>
      </c>
      <c r="K51" s="8" t="n"/>
      <c r="L51" s="8" t="n"/>
      <c r="M51" s="8" t="n"/>
      <c r="N51" s="8" t="n"/>
      <c r="P51" s="14" t="b">
        <v>0</v>
      </c>
      <c r="Q51" s="8" t="n"/>
      <c r="R51" s="8" t="n"/>
      <c r="S51" s="8" t="n"/>
      <c r="T51" s="8" t="n"/>
      <c r="V51" s="14" t="b">
        <v>0</v>
      </c>
      <c r="W51" s="8" t="n"/>
      <c r="X51" s="8" t="n"/>
      <c r="Y51" s="8" t="n"/>
      <c r="Z51" s="8" t="n"/>
      <c r="AB51" s="14" t="b">
        <v>0</v>
      </c>
      <c r="AC51" s="8" t="n"/>
      <c r="AD51" s="8" t="n"/>
      <c r="AE51" s="8" t="n"/>
      <c r="AF51" s="8" t="n"/>
      <c r="AH51" s="14" t="b">
        <v>0</v>
      </c>
      <c r="AI51" s="8" t="n"/>
      <c r="AJ51" s="8" t="n"/>
      <c r="AK51" s="8" t="n"/>
      <c r="AL51" s="8" t="n"/>
      <c r="AN51" s="14" t="b">
        <v>0</v>
      </c>
      <c r="AO51" s="8" t="n"/>
      <c r="AP51" s="8" t="n"/>
      <c r="AQ51" s="8" t="n"/>
      <c r="AR51" s="8" t="n"/>
      <c r="AT51" s="14" t="b">
        <v>0</v>
      </c>
      <c r="AU51" s="8" t="n"/>
      <c r="AV51" s="8" t="n"/>
      <c r="AW51" s="8" t="n"/>
      <c r="AX51" s="8" t="n"/>
    </row>
    <row r="52">
      <c r="J52" s="14" t="b">
        <v>0</v>
      </c>
      <c r="K52" s="8" t="n"/>
      <c r="L52" s="8" t="n"/>
      <c r="M52" s="8" t="n"/>
      <c r="N52" s="8" t="n"/>
      <c r="P52" s="14" t="b">
        <v>0</v>
      </c>
      <c r="Q52" s="8" t="n"/>
      <c r="R52" s="8" t="n"/>
      <c r="S52" s="8" t="n"/>
      <c r="T52" s="8" t="n"/>
      <c r="V52" s="14" t="b">
        <v>0</v>
      </c>
      <c r="W52" s="8" t="n"/>
      <c r="X52" s="8" t="n"/>
      <c r="Y52" s="8" t="n"/>
      <c r="Z52" s="8" t="n"/>
      <c r="AB52" s="14" t="b">
        <v>0</v>
      </c>
      <c r="AC52" s="8" t="n"/>
      <c r="AD52" s="8" t="n"/>
      <c r="AE52" s="8" t="n"/>
      <c r="AF52" s="8" t="n"/>
      <c r="AH52" s="14" t="b">
        <v>0</v>
      </c>
      <c r="AI52" s="8" t="n"/>
      <c r="AJ52" s="8" t="n"/>
      <c r="AK52" s="8" t="n"/>
      <c r="AL52" s="8" t="n"/>
      <c r="AN52" s="14" t="b">
        <v>0</v>
      </c>
      <c r="AO52" s="8" t="n"/>
      <c r="AP52" s="8" t="n"/>
      <c r="AQ52" s="8" t="n"/>
      <c r="AR52" s="8" t="n"/>
      <c r="AT52" s="14" t="b">
        <v>0</v>
      </c>
      <c r="AU52" s="8" t="n"/>
      <c r="AV52" s="8" t="n"/>
      <c r="AW52" s="8" t="n"/>
      <c r="AX52" s="8" t="n"/>
    </row>
    <row r="53">
      <c r="J53" s="14" t="b">
        <v>0</v>
      </c>
      <c r="K53" s="8" t="n"/>
      <c r="L53" s="8" t="n"/>
      <c r="M53" s="8" t="n"/>
      <c r="N53" s="8" t="n"/>
      <c r="P53" s="14" t="b">
        <v>0</v>
      </c>
      <c r="Q53" s="8" t="n"/>
      <c r="R53" s="8" t="n"/>
      <c r="S53" s="8" t="n"/>
      <c r="T53" s="8" t="n"/>
      <c r="V53" s="14" t="b">
        <v>0</v>
      </c>
      <c r="W53" s="8" t="n"/>
      <c r="X53" s="8" t="n"/>
      <c r="Y53" s="8" t="n"/>
      <c r="Z53" s="8" t="n"/>
      <c r="AB53" s="14" t="b">
        <v>0</v>
      </c>
      <c r="AC53" s="8" t="n"/>
      <c r="AD53" s="8" t="n"/>
      <c r="AE53" s="8" t="n"/>
      <c r="AF53" s="8" t="n"/>
      <c r="AH53" s="14" t="b">
        <v>0</v>
      </c>
      <c r="AI53" s="8" t="n"/>
      <c r="AJ53" s="8" t="n"/>
      <c r="AK53" s="8" t="n"/>
      <c r="AL53" s="8" t="n"/>
      <c r="AN53" s="14" t="b">
        <v>0</v>
      </c>
      <c r="AO53" s="8" t="n"/>
      <c r="AP53" s="8" t="n"/>
      <c r="AQ53" s="8" t="n"/>
      <c r="AR53" s="8" t="n"/>
      <c r="AT53" s="14" t="b">
        <v>0</v>
      </c>
      <c r="AU53" s="8" t="n"/>
      <c r="AV53" s="8" t="n"/>
      <c r="AW53" s="8" t="n"/>
      <c r="AX53" s="8" t="n"/>
    </row>
    <row r="54">
      <c r="J54" s="14" t="b">
        <v>0</v>
      </c>
      <c r="K54" s="8" t="n"/>
      <c r="L54" s="8" t="n"/>
      <c r="M54" s="8" t="n"/>
      <c r="N54" s="8" t="n"/>
      <c r="P54" s="14" t="b">
        <v>0</v>
      </c>
      <c r="Q54" s="8" t="n"/>
      <c r="R54" s="8" t="n"/>
      <c r="S54" s="8" t="n"/>
      <c r="T54" s="8" t="n"/>
      <c r="V54" s="14" t="b">
        <v>0</v>
      </c>
      <c r="W54" s="8" t="n"/>
      <c r="X54" s="8" t="n"/>
      <c r="Y54" s="8" t="n"/>
      <c r="Z54" s="8" t="n"/>
      <c r="AB54" s="14" t="b">
        <v>0</v>
      </c>
      <c r="AC54" s="8" t="n"/>
      <c r="AD54" s="8" t="n"/>
      <c r="AE54" s="8" t="n"/>
      <c r="AF54" s="8" t="n"/>
      <c r="AH54" s="14" t="b">
        <v>0</v>
      </c>
      <c r="AI54" s="8" t="n"/>
      <c r="AJ54" s="8" t="n"/>
      <c r="AK54" s="8" t="n"/>
      <c r="AL54" s="8" t="n"/>
      <c r="AN54" s="14" t="b">
        <v>0</v>
      </c>
      <c r="AO54" s="8" t="n"/>
      <c r="AP54" s="8" t="n"/>
      <c r="AQ54" s="8" t="n"/>
      <c r="AR54" s="8" t="n"/>
      <c r="AT54" s="14" t="b">
        <v>0</v>
      </c>
      <c r="AU54" s="8" t="n"/>
      <c r="AV54" s="8" t="n"/>
      <c r="AW54" s="8" t="n"/>
      <c r="AX54" s="8" t="n"/>
    </row>
    <row r="55">
      <c r="J55" s="14" t="b">
        <v>0</v>
      </c>
      <c r="K55" s="8" t="n"/>
      <c r="L55" s="8" t="n"/>
      <c r="M55" s="8" t="n"/>
      <c r="N55" s="8" t="n"/>
      <c r="P55" s="14" t="b">
        <v>0</v>
      </c>
      <c r="Q55" s="8" t="n"/>
      <c r="R55" s="8" t="n"/>
      <c r="S55" s="8" t="n"/>
      <c r="T55" s="8" t="n"/>
      <c r="V55" s="14" t="b">
        <v>0</v>
      </c>
      <c r="W55" s="8" t="n"/>
      <c r="X55" s="8" t="n"/>
      <c r="Y55" s="8" t="n"/>
      <c r="Z55" s="8" t="n"/>
      <c r="AB55" s="14" t="b">
        <v>0</v>
      </c>
      <c r="AC55" s="8" t="n"/>
      <c r="AD55" s="8" t="n"/>
      <c r="AE55" s="8" t="n"/>
      <c r="AF55" s="8" t="n"/>
      <c r="AH55" s="14" t="b">
        <v>0</v>
      </c>
      <c r="AI55" s="8" t="n"/>
      <c r="AJ55" s="8" t="n"/>
      <c r="AK55" s="8" t="n"/>
      <c r="AL55" s="8" t="n"/>
      <c r="AN55" s="14" t="b">
        <v>0</v>
      </c>
      <c r="AO55" s="8" t="n"/>
      <c r="AP55" s="8" t="n"/>
      <c r="AQ55" s="8" t="n"/>
      <c r="AR55" s="8" t="n"/>
      <c r="AT55" s="14" t="b">
        <v>0</v>
      </c>
      <c r="AU55" s="8" t="n"/>
      <c r="AV55" s="8" t="n"/>
      <c r="AW55" s="8" t="n"/>
      <c r="AX55" s="8" t="n"/>
    </row>
    <row r="56">
      <c r="J56" s="14" t="b">
        <v>0</v>
      </c>
      <c r="K56" s="8" t="n"/>
      <c r="L56" s="8" t="n"/>
      <c r="M56" s="8" t="n"/>
      <c r="N56" s="8" t="n"/>
      <c r="P56" s="14" t="b">
        <v>0</v>
      </c>
      <c r="Q56" s="8" t="n"/>
      <c r="R56" s="8" t="n"/>
      <c r="S56" s="8" t="n"/>
      <c r="T56" s="8" t="n"/>
      <c r="V56" s="14" t="b">
        <v>0</v>
      </c>
      <c r="W56" s="8" t="n"/>
      <c r="X56" s="8" t="n"/>
      <c r="Y56" s="8" t="n"/>
      <c r="Z56" s="8" t="n"/>
      <c r="AB56" s="14" t="b">
        <v>0</v>
      </c>
      <c r="AC56" s="8" t="n"/>
      <c r="AD56" s="8" t="n"/>
      <c r="AE56" s="8" t="n"/>
      <c r="AF56" s="8" t="n"/>
      <c r="AH56" s="14" t="b">
        <v>0</v>
      </c>
      <c r="AI56" s="8" t="n"/>
      <c r="AJ56" s="8" t="n"/>
      <c r="AK56" s="8" t="n"/>
      <c r="AL56" s="8" t="n"/>
      <c r="AN56" s="14" t="b">
        <v>0</v>
      </c>
      <c r="AO56" s="8" t="n"/>
      <c r="AP56" s="8" t="n"/>
      <c r="AQ56" s="8" t="n"/>
      <c r="AR56" s="8" t="n"/>
      <c r="AT56" s="14" t="b">
        <v>0</v>
      </c>
      <c r="AU56" s="8" t="n"/>
      <c r="AV56" s="8" t="n"/>
      <c r="AW56" s="8" t="n"/>
      <c r="AX56" s="8" t="n"/>
    </row>
    <row r="58">
      <c r="J58" s="6">
        <f>IF(Settings!$C$99="",Settings!$B$99,Settings!$C$99)</f>
        <v/>
      </c>
      <c r="K58" s="6" t="n"/>
      <c r="L58" s="6" t="n"/>
      <c r="M58" s="6" t="n"/>
      <c r="N58" s="6" t="n"/>
      <c r="P58" s="6">
        <f>IF(Settings!$C$99="",Settings!$B$99,Settings!$C$99)</f>
        <v/>
      </c>
      <c r="Q58" s="6" t="n"/>
      <c r="R58" s="6" t="n"/>
      <c r="S58" s="6" t="n"/>
      <c r="T58" s="6" t="n"/>
      <c r="V58" s="6">
        <f>IF(Settings!$C$99="",Settings!$B$99,Settings!$C$99)</f>
        <v/>
      </c>
      <c r="W58" s="6" t="n"/>
      <c r="X58" s="6" t="n"/>
      <c r="Y58" s="6" t="n"/>
      <c r="Z58" s="6" t="n"/>
      <c r="AB58" s="6">
        <f>IF(Settings!$C$99="",Settings!$B$99,Settings!$C$99)</f>
        <v/>
      </c>
      <c r="AC58" s="6" t="n"/>
      <c r="AD58" s="6" t="n"/>
      <c r="AE58" s="6" t="n"/>
      <c r="AF58" s="6" t="n"/>
      <c r="AH58" s="6">
        <f>IF(Settings!$C$99="",Settings!$B$99,Settings!$C$99)</f>
        <v/>
      </c>
      <c r="AI58" s="6" t="n"/>
      <c r="AJ58" s="6" t="n"/>
      <c r="AK58" s="6" t="n"/>
      <c r="AL58" s="6" t="n"/>
      <c r="AN58" s="6">
        <f>IF(Settings!$C$99="",Settings!$B$99,Settings!$C$99)</f>
        <v/>
      </c>
      <c r="AO58" s="6" t="n"/>
      <c r="AP58" s="6" t="n"/>
      <c r="AQ58" s="6" t="n"/>
      <c r="AR58" s="6" t="n"/>
      <c r="AT58" s="6">
        <f>IF(Settings!$C$99="",Settings!$B$99,Settings!$C$99)</f>
        <v/>
      </c>
      <c r="AU58" s="6" t="n"/>
      <c r="AV58" s="6" t="n"/>
      <c r="AW58" s="6" t="n"/>
      <c r="AX58" s="6" t="n"/>
    </row>
    <row r="59">
      <c r="J59" s="8" t="n"/>
      <c r="K59" s="8" t="n"/>
      <c r="L59" s="8" t="n"/>
      <c r="M59" s="8" t="n"/>
      <c r="N59" s="8" t="n"/>
      <c r="P59" s="8" t="n"/>
      <c r="Q59" s="8" t="n"/>
      <c r="R59" s="8" t="n"/>
      <c r="S59" s="8" t="n"/>
      <c r="T59" s="8" t="n"/>
      <c r="V59" s="8" t="n"/>
      <c r="W59" s="8" t="n"/>
      <c r="X59" s="8" t="n"/>
      <c r="Y59" s="8" t="n"/>
      <c r="Z59" s="8" t="n"/>
      <c r="AB59" s="8" t="n"/>
      <c r="AC59" s="8" t="n"/>
      <c r="AD59" s="8" t="n"/>
      <c r="AE59" s="8" t="n"/>
      <c r="AF59" s="8" t="n"/>
      <c r="AH59" s="8" t="n"/>
      <c r="AI59" s="8" t="n"/>
      <c r="AJ59" s="8" t="n"/>
      <c r="AK59" s="8" t="n"/>
      <c r="AL59" s="8" t="n"/>
      <c r="AN59" s="8" t="n"/>
      <c r="AO59" s="8" t="n"/>
      <c r="AP59" s="8" t="n"/>
      <c r="AQ59" s="8" t="n"/>
      <c r="AR59" s="8" t="n"/>
      <c r="AT59" s="8" t="n"/>
      <c r="AU59" s="8" t="n"/>
      <c r="AV59" s="8" t="n"/>
      <c r="AW59" s="8" t="n"/>
      <c r="AX59" s="8" t="n"/>
    </row>
    <row r="60">
      <c r="J60" s="8" t="n"/>
      <c r="K60" s="8" t="n"/>
      <c r="L60" s="8" t="n"/>
      <c r="M60" s="8" t="n"/>
      <c r="N60" s="8" t="n"/>
      <c r="P60" s="8" t="n"/>
      <c r="Q60" s="8" t="n"/>
      <c r="R60" s="8" t="n"/>
      <c r="S60" s="8" t="n"/>
      <c r="T60" s="8" t="n"/>
      <c r="V60" s="8" t="n"/>
      <c r="W60" s="8" t="n"/>
      <c r="X60" s="8" t="n"/>
      <c r="Y60" s="8" t="n"/>
      <c r="Z60" s="8" t="n"/>
      <c r="AB60" s="8" t="n"/>
      <c r="AC60" s="8" t="n"/>
      <c r="AD60" s="8" t="n"/>
      <c r="AE60" s="8" t="n"/>
      <c r="AF60" s="8" t="n"/>
      <c r="AH60" s="8" t="n"/>
      <c r="AI60" s="8" t="n"/>
      <c r="AJ60" s="8" t="n"/>
      <c r="AK60" s="8" t="n"/>
      <c r="AL60" s="8" t="n"/>
      <c r="AN60" s="8" t="n"/>
      <c r="AO60" s="8" t="n"/>
      <c r="AP60" s="8" t="n"/>
      <c r="AQ60" s="8" t="n"/>
      <c r="AR60" s="8" t="n"/>
      <c r="AT60" s="8" t="n"/>
      <c r="AU60" s="8" t="n"/>
      <c r="AV60" s="8" t="n"/>
      <c r="AW60" s="8" t="n"/>
      <c r="AX60" s="8" t="n"/>
    </row>
    <row r="61">
      <c r="J61" s="8" t="n"/>
      <c r="K61" s="8" t="n"/>
      <c r="L61" s="8" t="n"/>
      <c r="M61" s="8" t="n"/>
      <c r="N61" s="8" t="n"/>
      <c r="P61" s="8" t="n"/>
      <c r="Q61" s="8" t="n"/>
      <c r="R61" s="8" t="n"/>
      <c r="S61" s="8" t="n"/>
      <c r="T61" s="8" t="n"/>
      <c r="V61" s="8" t="n"/>
      <c r="W61" s="8" t="n"/>
      <c r="X61" s="8" t="n"/>
      <c r="Y61" s="8" t="n"/>
      <c r="Z61" s="8" t="n"/>
      <c r="AB61" s="8" t="n"/>
      <c r="AC61" s="8" t="n"/>
      <c r="AD61" s="8" t="n"/>
      <c r="AE61" s="8" t="n"/>
      <c r="AF61" s="8" t="n"/>
      <c r="AH61" s="8" t="n"/>
      <c r="AI61" s="8" t="n"/>
      <c r="AJ61" s="8" t="n"/>
      <c r="AK61" s="8" t="n"/>
      <c r="AL61" s="8" t="n"/>
      <c r="AN61" s="8" t="n"/>
      <c r="AO61" s="8" t="n"/>
      <c r="AP61" s="8" t="n"/>
      <c r="AQ61" s="8" t="n"/>
      <c r="AR61" s="8" t="n"/>
      <c r="AT61" s="8" t="n"/>
      <c r="AU61" s="8" t="n"/>
      <c r="AV61" s="8" t="n"/>
      <c r="AW61" s="8" t="n"/>
      <c r="AX61" s="8" t="n"/>
    </row>
    <row r="62">
      <c r="J62" s="8" t="n"/>
      <c r="K62" s="8" t="n"/>
      <c r="L62" s="8" t="n"/>
      <c r="M62" s="8" t="n"/>
      <c r="N62" s="8" t="n"/>
      <c r="P62" s="8" t="n"/>
      <c r="Q62" s="8" t="n"/>
      <c r="R62" s="8" t="n"/>
      <c r="S62" s="8" t="n"/>
      <c r="T62" s="8" t="n"/>
      <c r="V62" s="8" t="n"/>
      <c r="W62" s="8" t="n"/>
      <c r="X62" s="8" t="n"/>
      <c r="Y62" s="8" t="n"/>
      <c r="Z62" s="8" t="n"/>
      <c r="AB62" s="8" t="n"/>
      <c r="AC62" s="8" t="n"/>
      <c r="AD62" s="8" t="n"/>
      <c r="AE62" s="8" t="n"/>
      <c r="AF62" s="8" t="n"/>
      <c r="AH62" s="8" t="n"/>
      <c r="AI62" s="8" t="n"/>
      <c r="AJ62" s="8" t="n"/>
      <c r="AK62" s="8" t="n"/>
      <c r="AL62" s="8" t="n"/>
      <c r="AN62" s="8" t="n"/>
      <c r="AO62" s="8" t="n"/>
      <c r="AP62" s="8" t="n"/>
      <c r="AQ62" s="8" t="n"/>
      <c r="AR62" s="8" t="n"/>
      <c r="AT62" s="8" t="n"/>
      <c r="AU62" s="8" t="n"/>
      <c r="AV62" s="8" t="n"/>
      <c r="AW62" s="8" t="n"/>
      <c r="AX62" s="8" t="n"/>
    </row>
    <row r="63">
      <c r="J63" s="8" t="n"/>
      <c r="K63" s="8" t="n"/>
      <c r="L63" s="8" t="n"/>
      <c r="M63" s="8" t="n"/>
      <c r="N63" s="8" t="n"/>
      <c r="P63" s="8" t="n"/>
      <c r="Q63" s="8" t="n"/>
      <c r="R63" s="8" t="n"/>
      <c r="S63" s="8" t="n"/>
      <c r="T63" s="8" t="n"/>
      <c r="V63" s="8" t="n"/>
      <c r="W63" s="8" t="n"/>
      <c r="X63" s="8" t="n"/>
      <c r="Y63" s="8" t="n"/>
      <c r="Z63" s="8" t="n"/>
      <c r="AB63" s="8" t="n"/>
      <c r="AC63" s="8" t="n"/>
      <c r="AD63" s="8" t="n"/>
      <c r="AE63" s="8" t="n"/>
      <c r="AF63" s="8" t="n"/>
      <c r="AH63" s="8" t="n"/>
      <c r="AI63" s="8" t="n"/>
      <c r="AJ63" s="8" t="n"/>
      <c r="AK63" s="8" t="n"/>
      <c r="AL63" s="8" t="n"/>
      <c r="AN63" s="8" t="n"/>
      <c r="AO63" s="8" t="n"/>
      <c r="AP63" s="8" t="n"/>
      <c r="AQ63" s="8" t="n"/>
      <c r="AR63" s="8" t="n"/>
      <c r="AT63" s="8" t="n"/>
      <c r="AU63" s="8" t="n"/>
      <c r="AV63" s="8" t="n"/>
      <c r="AW63" s="8" t="n"/>
      <c r="AX63" s="8" t="n"/>
    </row>
    <row r="65">
      <c r="J65" s="6">
        <f>IF(Settings!$C$97="",Settings!$B$97,Settings!$C$97)</f>
        <v/>
      </c>
      <c r="K65" s="6" t="n"/>
      <c r="L65" s="6" t="n"/>
      <c r="M65" s="6" t="n"/>
      <c r="N65" s="6" t="n"/>
      <c r="P65" s="6">
        <f>IF(Settings!$C$97="",Settings!$B$97,Settings!$C$97)</f>
        <v/>
      </c>
      <c r="Q65" s="6" t="n"/>
      <c r="R65" s="6" t="n"/>
      <c r="S65" s="6" t="n"/>
      <c r="T65" s="6" t="n"/>
      <c r="V65" s="6">
        <f>IF(Settings!$C$97="",Settings!$B$97,Settings!$C$97)</f>
        <v/>
      </c>
      <c r="W65" s="6" t="n"/>
      <c r="X65" s="6" t="n"/>
      <c r="Y65" s="6" t="n"/>
      <c r="Z65" s="6" t="n"/>
      <c r="AB65" s="6">
        <f>IF(Settings!$C$97="",Settings!$B$97,Settings!$C$97)</f>
        <v/>
      </c>
      <c r="AC65" s="6" t="n"/>
      <c r="AD65" s="6" t="n"/>
      <c r="AE65" s="6" t="n"/>
      <c r="AF65" s="6" t="n"/>
      <c r="AH65" s="6">
        <f>IF(Settings!$C$97="",Settings!$B$97,Settings!$C$97)</f>
        <v/>
      </c>
      <c r="AI65" s="6" t="n"/>
      <c r="AJ65" s="6" t="n"/>
      <c r="AK65" s="6" t="n"/>
      <c r="AL65" s="6" t="n"/>
      <c r="AN65" s="6">
        <f>IF(Settings!$C$97="",Settings!$B$97,Settings!$C$97)</f>
        <v/>
      </c>
      <c r="AO65" s="6" t="n"/>
      <c r="AP65" s="6" t="n"/>
      <c r="AQ65" s="6" t="n"/>
      <c r="AR65" s="6" t="n"/>
      <c r="AT65" s="6">
        <f>IF(Settings!$C$97="",Settings!$B$97,Settings!$C$97)</f>
        <v/>
      </c>
      <c r="AU65" s="6" t="n"/>
      <c r="AV65" s="6" t="n"/>
      <c r="AW65" s="6" t="n"/>
      <c r="AX65" s="6" t="n"/>
    </row>
    <row r="66">
      <c r="J66" s="8" t="n"/>
      <c r="K66" s="8" t="n"/>
      <c r="L66" s="8" t="n"/>
      <c r="M66" s="8" t="n"/>
      <c r="N66" s="8" t="n"/>
      <c r="P66" s="8" t="n"/>
      <c r="Q66" s="8" t="n"/>
      <c r="R66" s="8" t="n"/>
      <c r="S66" s="8" t="n"/>
      <c r="T66" s="8" t="n"/>
      <c r="V66" s="8" t="n"/>
      <c r="W66" s="8" t="n"/>
      <c r="X66" s="8" t="n"/>
      <c r="Y66" s="8" t="n"/>
      <c r="Z66" s="8" t="n"/>
      <c r="AB66" s="8" t="n"/>
      <c r="AC66" s="8" t="n"/>
      <c r="AD66" s="8" t="n"/>
      <c r="AE66" s="8" t="n"/>
      <c r="AF66" s="8" t="n"/>
      <c r="AH66" s="8" t="n"/>
      <c r="AI66" s="8" t="n"/>
      <c r="AJ66" s="8" t="n"/>
      <c r="AK66" s="8" t="n"/>
      <c r="AL66" s="8" t="n"/>
      <c r="AN66" s="8" t="n"/>
      <c r="AO66" s="8" t="n"/>
      <c r="AP66" s="8" t="n"/>
      <c r="AQ66" s="8" t="n"/>
      <c r="AR66" s="8" t="n"/>
      <c r="AT66" s="8" t="n"/>
      <c r="AU66" s="8" t="n"/>
      <c r="AV66" s="8" t="n"/>
      <c r="AW66" s="8" t="n"/>
      <c r="AX66" s="8" t="n"/>
    </row>
    <row r="67">
      <c r="J67" s="8" t="n"/>
      <c r="K67" s="8" t="n"/>
      <c r="L67" s="8" t="n"/>
      <c r="M67" s="8" t="n"/>
      <c r="N67" s="8" t="n"/>
      <c r="P67" s="8" t="n"/>
      <c r="Q67" s="8" t="n"/>
      <c r="R67" s="8" t="n"/>
      <c r="S67" s="8" t="n"/>
      <c r="T67" s="8" t="n"/>
      <c r="V67" s="8" t="n"/>
      <c r="W67" s="8" t="n"/>
      <c r="X67" s="8" t="n"/>
      <c r="Y67" s="8" t="n"/>
      <c r="Z67" s="8" t="n"/>
      <c r="AB67" s="8" t="n"/>
      <c r="AC67" s="8" t="n"/>
      <c r="AD67" s="8" t="n"/>
      <c r="AE67" s="8" t="n"/>
      <c r="AF67" s="8" t="n"/>
      <c r="AH67" s="8" t="n"/>
      <c r="AI67" s="8" t="n"/>
      <c r="AJ67" s="8" t="n"/>
      <c r="AK67" s="8" t="n"/>
      <c r="AL67" s="8" t="n"/>
      <c r="AN67" s="8" t="n"/>
      <c r="AO67" s="8" t="n"/>
      <c r="AP67" s="8" t="n"/>
      <c r="AQ67" s="8" t="n"/>
      <c r="AR67" s="8" t="n"/>
      <c r="AT67" s="8" t="n"/>
      <c r="AU67" s="8" t="n"/>
      <c r="AV67" s="8" t="n"/>
      <c r="AW67" s="8" t="n"/>
      <c r="AX67" s="8" t="n"/>
    </row>
    <row r="68">
      <c r="J68" s="8" t="n"/>
      <c r="K68" s="8" t="n"/>
      <c r="L68" s="8" t="n"/>
      <c r="M68" s="8" t="n"/>
      <c r="N68" s="8" t="n"/>
      <c r="P68" s="8" t="n"/>
      <c r="Q68" s="8" t="n"/>
      <c r="R68" s="8" t="n"/>
      <c r="S68" s="8" t="n"/>
      <c r="T68" s="8" t="n"/>
      <c r="V68" s="8" t="n"/>
      <c r="W68" s="8" t="n"/>
      <c r="X68" s="8" t="n"/>
      <c r="Y68" s="8" t="n"/>
      <c r="Z68" s="8" t="n"/>
      <c r="AB68" s="8" t="n"/>
      <c r="AC68" s="8" t="n"/>
      <c r="AD68" s="8" t="n"/>
      <c r="AE68" s="8" t="n"/>
      <c r="AF68" s="8" t="n"/>
      <c r="AH68" s="8" t="n"/>
      <c r="AI68" s="8" t="n"/>
      <c r="AJ68" s="8" t="n"/>
      <c r="AK68" s="8" t="n"/>
      <c r="AL68" s="8" t="n"/>
      <c r="AN68" s="8" t="n"/>
      <c r="AO68" s="8" t="n"/>
      <c r="AP68" s="8" t="n"/>
      <c r="AQ68" s="8" t="n"/>
      <c r="AR68" s="8" t="n"/>
      <c r="AT68" s="8" t="n"/>
      <c r="AU68" s="8" t="n"/>
      <c r="AV68" s="8" t="n"/>
      <c r="AW68" s="8" t="n"/>
      <c r="AX68" s="8" t="n"/>
    </row>
    <row r="69">
      <c r="J69" s="8" t="n"/>
      <c r="K69" s="8" t="n"/>
      <c r="L69" s="8" t="n"/>
      <c r="M69" s="8" t="n"/>
      <c r="N69" s="8" t="n"/>
      <c r="P69" s="8" t="n"/>
      <c r="Q69" s="8" t="n"/>
      <c r="R69" s="8" t="n"/>
      <c r="S69" s="8" t="n"/>
      <c r="T69" s="8" t="n"/>
      <c r="V69" s="8" t="n"/>
      <c r="W69" s="8" t="n"/>
      <c r="X69" s="8" t="n"/>
      <c r="Y69" s="8" t="n"/>
      <c r="Z69" s="8" t="n"/>
      <c r="AB69" s="8" t="n"/>
      <c r="AC69" s="8" t="n"/>
      <c r="AD69" s="8" t="n"/>
      <c r="AE69" s="8" t="n"/>
      <c r="AF69" s="8" t="n"/>
      <c r="AH69" s="8" t="n"/>
      <c r="AI69" s="8" t="n"/>
      <c r="AJ69" s="8" t="n"/>
      <c r="AK69" s="8" t="n"/>
      <c r="AL69" s="8" t="n"/>
      <c r="AN69" s="8" t="n"/>
      <c r="AO69" s="8" t="n"/>
      <c r="AP69" s="8" t="n"/>
      <c r="AQ69" s="8" t="n"/>
      <c r="AR69" s="8" t="n"/>
      <c r="AT69" s="8" t="n"/>
      <c r="AU69" s="8" t="n"/>
      <c r="AV69" s="8" t="n"/>
      <c r="AW69" s="8" t="n"/>
      <c r="AX69" s="8" t="n"/>
    </row>
    <row r="70">
      <c r="J70" s="8" t="n"/>
      <c r="K70" s="8" t="n"/>
      <c r="L70" s="8" t="n"/>
      <c r="M70" s="8" t="n"/>
      <c r="N70" s="8" t="n"/>
      <c r="P70" s="8" t="n"/>
      <c r="Q70" s="8" t="n"/>
      <c r="R70" s="8" t="n"/>
      <c r="S70" s="8" t="n"/>
      <c r="T70" s="8" t="n"/>
      <c r="V70" s="8" t="n"/>
      <c r="W70" s="8" t="n"/>
      <c r="X70" s="8" t="n"/>
      <c r="Y70" s="8" t="n"/>
      <c r="Z70" s="8" t="n"/>
      <c r="AB70" s="8" t="n"/>
      <c r="AC70" s="8" t="n"/>
      <c r="AD70" s="8" t="n"/>
      <c r="AE70" s="8" t="n"/>
      <c r="AF70" s="8" t="n"/>
      <c r="AH70" s="8" t="n"/>
      <c r="AI70" s="8" t="n"/>
      <c r="AJ70" s="8" t="n"/>
      <c r="AK70" s="8" t="n"/>
      <c r="AL70" s="8" t="n"/>
      <c r="AN70" s="8" t="n"/>
      <c r="AO70" s="8" t="n"/>
      <c r="AP70" s="8" t="n"/>
      <c r="AQ70" s="8" t="n"/>
      <c r="AR70" s="8" t="n"/>
      <c r="AT70" s="8" t="n"/>
      <c r="AU70" s="8" t="n"/>
      <c r="AV70" s="8" t="n"/>
      <c r="AW70" s="8" t="n"/>
      <c r="AX70" s="8" t="n"/>
    </row>
    <row r="71">
      <c r="J71" s="8" t="n"/>
      <c r="K71" s="8" t="n"/>
      <c r="L71" s="8" t="n"/>
      <c r="M71" s="8" t="n"/>
      <c r="N71" s="8" t="n"/>
      <c r="P71" s="8" t="n"/>
      <c r="Q71" s="8" t="n"/>
      <c r="R71" s="8" t="n"/>
      <c r="S71" s="8" t="n"/>
      <c r="T71" s="8" t="n"/>
      <c r="V71" s="8" t="n"/>
      <c r="W71" s="8" t="n"/>
      <c r="X71" s="8" t="n"/>
      <c r="Y71" s="8" t="n"/>
      <c r="Z71" s="8" t="n"/>
      <c r="AB71" s="8" t="n"/>
      <c r="AC71" s="8" t="n"/>
      <c r="AD71" s="8" t="n"/>
      <c r="AE71" s="8" t="n"/>
      <c r="AF71" s="8" t="n"/>
      <c r="AH71" s="8" t="n"/>
      <c r="AI71" s="8" t="n"/>
      <c r="AJ71" s="8" t="n"/>
      <c r="AK71" s="8" t="n"/>
      <c r="AL71" s="8" t="n"/>
      <c r="AN71" s="8" t="n"/>
      <c r="AO71" s="8" t="n"/>
      <c r="AP71" s="8" t="n"/>
      <c r="AQ71" s="8" t="n"/>
      <c r="AR71" s="8" t="n"/>
      <c r="AT71" s="8" t="n"/>
      <c r="AU71" s="8" t="n"/>
      <c r="AV71" s="8" t="n"/>
      <c r="AW71" s="8" t="n"/>
      <c r="AX71" s="8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B6:H11">
    <cfRule type="expression" priority="1" dxfId="3">
      <formula>B6=TODAY()</formula>
    </cfRule>
    <cfRule type="expression" priority="2" dxfId="4">
      <formula>ROW()-ROW($B$6)+1=$B$2</formula>
    </cfRule>
    <cfRule type="expression" priority="3" dxfId="5">
      <formula>MONTH(B6)&lt;&gt;$H$1</formula>
    </cfRule>
  </conditionalFormatting>
  <conditionalFormatting sqref="C15:H19">
    <cfRule type="expression" priority="4" dxfId="2">
      <formula>$B15=TRUE</formula>
    </cfRule>
  </conditionalFormatting>
  <conditionalFormatting sqref="C23:H27">
    <cfRule type="expression" priority="5" dxfId="2">
      <formula>$B23=TRUE</formula>
    </cfRule>
  </conditionalFormatting>
  <conditionalFormatting sqref="J5:N5">
    <cfRule type="expression" priority="6" dxfId="0">
      <formula>$N$5=TODAY()</formula>
    </cfRule>
    <cfRule type="expression" priority="7" dxfId="6">
      <formula>MONTH($N$5)&lt;&gt;$H$1</formula>
    </cfRule>
  </conditionalFormatting>
  <conditionalFormatting sqref="M47:N56">
    <cfRule type="expression" priority="8" dxfId="2">
      <formula>$J47=TRUE</formula>
    </cfRule>
  </conditionalFormatting>
  <conditionalFormatting sqref="P5:T5">
    <cfRule type="expression" priority="9" dxfId="0">
      <formula>$T$5=TODAY()</formula>
    </cfRule>
    <cfRule type="expression" priority="10" dxfId="6">
      <formula>MONTH($T$5)&lt;&gt;$H$1</formula>
    </cfRule>
  </conditionalFormatting>
  <conditionalFormatting sqref="S47:T56">
    <cfRule type="expression" priority="11" dxfId="2">
      <formula>$P47=TRUE</formula>
    </cfRule>
  </conditionalFormatting>
  <conditionalFormatting sqref="V5:Z5">
    <cfRule type="expression" priority="12" dxfId="0">
      <formula>$Z$5=TODAY()</formula>
    </cfRule>
    <cfRule type="expression" priority="13" dxfId="6">
      <formula>MONTH($Z$5)&lt;&gt;$H$1</formula>
    </cfRule>
  </conditionalFormatting>
  <conditionalFormatting sqref="Y47:Z56">
    <cfRule type="expression" priority="14" dxfId="2">
      <formula>$V47=TRUE</formula>
    </cfRule>
  </conditionalFormatting>
  <conditionalFormatting sqref="AB5:AF5">
    <cfRule type="expression" priority="15" dxfId="0">
      <formula>$AF$5=TODAY()</formula>
    </cfRule>
    <cfRule type="expression" priority="16" dxfId="6">
      <formula>MONTH($AF$5)&lt;&gt;$H$1</formula>
    </cfRule>
  </conditionalFormatting>
  <conditionalFormatting sqref="AE47:AF56">
    <cfRule type="expression" priority="17" dxfId="2">
      <formula>$AB47=TRUE</formula>
    </cfRule>
  </conditionalFormatting>
  <conditionalFormatting sqref="AH5:AL5">
    <cfRule type="expression" priority="18" dxfId="0">
      <formula>$AL$5=TODAY()</formula>
    </cfRule>
    <cfRule type="expression" priority="19" dxfId="6">
      <formula>MONTH($AL$5)&lt;&gt;$H$1</formula>
    </cfRule>
  </conditionalFormatting>
  <conditionalFormatting sqref="AK47:AL56">
    <cfRule type="expression" priority="20" dxfId="2">
      <formula>$AH47=TRUE</formula>
    </cfRule>
  </conditionalFormatting>
  <conditionalFormatting sqref="AN5:AR5">
    <cfRule type="expression" priority="21" dxfId="0">
      <formula>$AR$5=TODAY()</formula>
    </cfRule>
    <cfRule type="expression" priority="22" dxfId="6">
      <formula>MONTH($AR$5)&lt;&gt;$H$1</formula>
    </cfRule>
  </conditionalFormatting>
  <conditionalFormatting sqref="AQ47:AR56">
    <cfRule type="expression" priority="23" dxfId="2">
      <formula>$AN47=TRUE</formula>
    </cfRule>
  </conditionalFormatting>
  <conditionalFormatting sqref="AT5:AX5">
    <cfRule type="expression" priority="24" dxfId="0">
      <formula>$AX$5=TODAY()</formula>
    </cfRule>
    <cfRule type="expression" priority="25" dxfId="6">
      <formula>MONTH($AX$5)&lt;&gt;$H$1</formula>
    </cfRule>
  </conditionalFormatting>
  <conditionalFormatting sqref="AW47:AX56">
    <cfRule type="expression" priority="26" dxfId="2">
      <formula>$AT47=TRUE</formula>
    </cfRule>
  </conditionalFormatting>
  <conditionalFormatting sqref="K47:K56 Q47:Q56 W47:W56 AC47:AC56 AI47:AI56 AO47:AO56 AU47:AU56">
    <cfRule type="expression" priority="27" dxfId="7">
      <formula>AND(K47&lt;&gt;"",K47=INDIRECT("Settings!$B$12"))</formula>
    </cfRule>
    <cfRule type="expression" priority="28" dxfId="8">
      <formula>AND(K47&lt;&gt;"",K47=INDIRECT("Settings!$B$13"))</formula>
    </cfRule>
    <cfRule type="expression" priority="29" dxfId="9">
      <formula>AND(K47&lt;&gt;"",K47=INDIRECT("Settings!$B$14"))</formula>
    </cfRule>
    <cfRule type="expression" priority="30" dxfId="10">
      <formula>AND(K47&lt;&gt;"",K47=INDIRECT("Settings!$B$15"))</formula>
    </cfRule>
    <cfRule type="expression" priority="31" dxfId="11">
      <formula>AND(K47&lt;&gt;"",K47=INDIRECT("Settings!$B$16"))</formula>
    </cfRule>
    <cfRule type="expression" priority="32" dxfId="12">
      <formula>AND(K47&lt;&gt;"",K47=INDIRECT("Settings!$B$17"))</formula>
    </cfRule>
    <cfRule type="expression" priority="33" dxfId="13">
      <formula>AND(K47&lt;&gt;"",K47=INDIRECT("Settings!$B$18"))</formula>
    </cfRule>
    <cfRule type="expression" priority="58" dxfId="14">
      <formula>AND(K47&lt;&gt;"",COUNTIF(INDIRECT("Settings!B12:B18"),K47)=0)</formula>
    </cfRule>
  </conditionalFormatting>
  <conditionalFormatting sqref="L47:L56 R47:R56 X47:X56 AD47:AD56 AJ47:AJ56 AP47:AP56 AV47:AV56">
    <cfRule type="expression" priority="34" dxfId="15">
      <formula>AND(L47&lt;&gt;"",L47=INDIRECT("Settings!$B$22"))</formula>
    </cfRule>
    <cfRule type="expression" priority="36" dxfId="16">
      <formula>AND(L47&lt;&gt;"",L47=INDIRECT("Settings!$B$23"))</formula>
    </cfRule>
    <cfRule type="expression" priority="38" dxfId="17">
      <formula>AND(L47&lt;&gt;"",L47=INDIRECT("Settings!$B$24"))</formula>
    </cfRule>
    <cfRule type="expression" priority="40" dxfId="18">
      <formula>AND(L47&lt;&gt;"",L47=INDIRECT("Settings!$B$25"))</formula>
    </cfRule>
    <cfRule type="expression" priority="42" dxfId="19">
      <formula>AND(L47&lt;&gt;"",L47=INDIRECT("Settings!$B$26"))</formula>
    </cfRule>
    <cfRule type="expression" priority="44" dxfId="20">
      <formula>AND(L47&lt;&gt;"",L47=INDIRECT("Settings!$B$27"))</formula>
    </cfRule>
    <cfRule type="expression" priority="46" dxfId="21">
      <formula>AND(L47&lt;&gt;"",L47=INDIRECT("Settings!$B$28"))</formula>
    </cfRule>
    <cfRule type="expression" priority="48" dxfId="22">
      <formula>AND(L47&lt;&gt;"",L47=INDIRECT("Settings!$B$29"))</formula>
    </cfRule>
    <cfRule type="expression" priority="50" dxfId="23">
      <formula>AND(L47&lt;&gt;"",L47=INDIRECT("Settings!$B$30"))</formula>
    </cfRule>
    <cfRule type="expression" priority="52" dxfId="24">
      <formula>AND(L47&lt;&gt;"",L47=INDIRECT("Settings!$B$31"))</formula>
    </cfRule>
    <cfRule type="expression" priority="54" dxfId="25">
      <formula>AND(L47&lt;&gt;"",L47=INDIRECT("Settings!$B$32"))</formula>
    </cfRule>
    <cfRule type="expression" priority="56" dxfId="26">
      <formula>AND(L47&lt;&gt;"",L47=INDIRECT("Settings!$B$33"))</formula>
    </cfRule>
    <cfRule type="expression" priority="59" dxfId="14">
      <formula>AND(L47&lt;&gt;"",COUNTIF(INDIRECT("Settings!B22:B33"),L47)=0)</formula>
    </cfRule>
  </conditionalFormatting>
  <conditionalFormatting sqref="N9:N44 T9:T44 Z9:Z44 AF9:AF44 AL9:AL44 AR9:AR44 AX9:AX44">
    <cfRule type="expression" priority="35" dxfId="15">
      <formula>AND(N9&lt;&gt;"",N9=INDIRECT("Settings!$B$22"))</formula>
    </cfRule>
    <cfRule type="expression" priority="37" dxfId="16">
      <formula>AND(N9&lt;&gt;"",N9=INDIRECT("Settings!$B$23"))</formula>
    </cfRule>
    <cfRule type="expression" priority="39" dxfId="17">
      <formula>AND(N9&lt;&gt;"",N9=INDIRECT("Settings!$B$24"))</formula>
    </cfRule>
    <cfRule type="expression" priority="41" dxfId="18">
      <formula>AND(N9&lt;&gt;"",N9=INDIRECT("Settings!$B$25"))</formula>
    </cfRule>
    <cfRule type="expression" priority="43" dxfId="19">
      <formula>AND(N9&lt;&gt;"",N9=INDIRECT("Settings!$B$26"))</formula>
    </cfRule>
    <cfRule type="expression" priority="45" dxfId="20">
      <formula>AND(N9&lt;&gt;"",N9=INDIRECT("Settings!$B$27"))</formula>
    </cfRule>
    <cfRule type="expression" priority="47" dxfId="21">
      <formula>AND(N9&lt;&gt;"",N9=INDIRECT("Settings!$B$28"))</formula>
    </cfRule>
    <cfRule type="expression" priority="49" dxfId="22">
      <formula>AND(N9&lt;&gt;"",N9=INDIRECT("Settings!$B$29"))</formula>
    </cfRule>
    <cfRule type="expression" priority="51" dxfId="23">
      <formula>AND(N9&lt;&gt;"",N9=INDIRECT("Settings!$B$30"))</formula>
    </cfRule>
    <cfRule type="expression" priority="53" dxfId="24">
      <formula>AND(N9&lt;&gt;"",N9=INDIRECT("Settings!$B$31"))</formula>
    </cfRule>
    <cfRule type="expression" priority="55" dxfId="25">
      <formula>AND(N9&lt;&gt;"",N9=INDIRECT("Settings!$B$32"))</formula>
    </cfRule>
    <cfRule type="expression" priority="57" dxfId="26">
      <formula>AND(N9&lt;&gt;"",N9=INDIRECT("Settings!$B$33"))</formula>
    </cfRule>
    <cfRule type="expression" priority="60" dxfId="14">
      <formula>AND(N9&lt;&gt;"",COUNTIF(INDIRECT("Settings!B22:B33"),N9)=0)</formula>
    </cfRule>
  </conditionalFormatting>
  <conditionalFormatting sqref="B4:BJ71">
    <cfRule type="expression" priority="61" dxfId="5">
      <formula>$B$3&lt;&gt;""</formula>
    </cfRule>
  </conditionalFormatting>
  <conditionalFormatting sqref="BB6:BH26">
    <cfRule type="expression" priority="62" dxfId="27">
      <formula>BB6=TRUE</formula>
    </cfRule>
  </conditionalFormatting>
  <conditionalFormatting sqref="BA6:BJ26">
    <cfRule type="expression" priority="63" dxfId="28">
      <formula>$BA6=""</formula>
    </cfRule>
  </conditionalFormatting>
  <dataValidations count="7">
    <dataValidation sqref="K47:K56 Q47:Q56 W47:W56 AC47:AC56 AI47:AI56 AO47:AO56 AU47:AU56" showDropDown="0" showInputMessage="0" showErrorMessage="0" allowBlank="1" type="list">
      <formula1>=Settings!$B$12:$B$18</formula1>
    </dataValidation>
    <dataValidation sqref="L47:L56 N9:N44 R47:R56 T9:T44 X47:X56 Z9:Z44 AD47:AD56 AF9:AF44 AJ47:AJ56 AL9:AL44 AP47:AP56 AR9:AR44 AV47:AV56 AX9:AX44" showDropDown="0" showInputMessage="0" showErrorMessage="0" allowBlank="1" type="list">
      <formula1>=Settings!$B$22:$B$33</formula1>
    </dataValidation>
    <dataValidation sqref="BB31:BH31" showDropDown="0" showInputMessage="0" showErrorMessage="1" allowBlank="1" errorTitle="Out of range" error="Value must be between Min and Max set on the Settings tab." type="decimal" operator="between">
      <formula1>Settings!$D$61</formula1>
      <formula2>Settings!$E$61</formula2>
    </dataValidation>
    <dataValidation sqref="BB33:BH33" showDropDown="0" showInputMessage="0" showErrorMessage="1" allowBlank="1" errorTitle="Out of range" error="Value must be between Min and Max set on the Settings tab." type="decimal" operator="between">
      <formula1>Settings!$D$62</formula1>
      <formula2>Settings!$E$62</formula2>
    </dataValidation>
    <dataValidation sqref="BB35:BH35" showDropDown="0" showInputMessage="0" showErrorMessage="1" allowBlank="1" errorTitle="Out of range" error="Value must be between Min and Max set on the Settings tab." type="decimal" operator="between">
      <formula1>Settings!$D$63</formula1>
      <formula2>Settings!$E$63</formula2>
    </dataValidation>
    <dataValidation sqref="BB37:BH37" showDropDown="0" showInputMessage="0" showErrorMessage="1" allowBlank="1" errorTitle="Out of range" error="Value must be between Min and Max set on the Settings tab." type="decimal" operator="between">
      <formula1>Settings!$D$64</formula1>
      <formula2>Settings!$E$64</formula2>
    </dataValidation>
    <dataValidation sqref="BB39:BH39" showDropDown="0" showInputMessage="0" showErrorMessage="1" allowBlank="1" errorTitle="Out of range" error="Value must be between Min and Max set on the Settings tab." type="decimal" operator="between">
      <formula1>Settings!$D$65</formula1>
      <formula2>Settings!$E$65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7C8F"/>
    <outlinePr summaryBelow="1" summaryRight="1"/>
    <pageSetUpPr fitToPage="1"/>
  </sheetPr>
  <dimension ref="B1:BT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3" customWidth="1" min="9" max="9"/>
    <col width="11" customWidth="1" min="10" max="10"/>
    <col width="11" customWidth="1" min="11" max="11"/>
    <col width="13" customWidth="1" min="12" max="12"/>
    <col width="20" customWidth="1" min="13" max="13"/>
    <col width="13" customWidth="1" min="14" max="14"/>
    <col width="3" customWidth="1" min="15" max="15"/>
    <col width="11" customWidth="1" min="16" max="16"/>
    <col width="11" customWidth="1" min="17" max="17"/>
    <col width="13" customWidth="1" min="18" max="18"/>
    <col width="20" customWidth="1" min="19" max="19"/>
    <col width="13" customWidth="1" min="20" max="20"/>
    <col width="3" customWidth="1" min="21" max="21"/>
    <col width="11" customWidth="1" min="22" max="22"/>
    <col width="11" customWidth="1" min="23" max="23"/>
    <col width="13" customWidth="1" min="24" max="24"/>
    <col width="20" customWidth="1" min="25" max="25"/>
    <col width="13" customWidth="1" min="26" max="26"/>
    <col width="3" customWidth="1" min="27" max="27"/>
    <col width="11" customWidth="1" min="28" max="28"/>
    <col width="11" customWidth="1" min="29" max="29"/>
    <col width="13" customWidth="1" min="30" max="30"/>
    <col width="20" customWidth="1" min="31" max="31"/>
    <col width="13" customWidth="1" min="32" max="32"/>
    <col width="3" customWidth="1" min="33" max="33"/>
    <col width="11" customWidth="1" min="34" max="34"/>
    <col width="11" customWidth="1" min="35" max="35"/>
    <col width="13" customWidth="1" min="36" max="36"/>
    <col width="20" customWidth="1" min="37" max="37"/>
    <col width="13" customWidth="1" min="38" max="38"/>
    <col width="3" customWidth="1" min="39" max="39"/>
    <col width="11" customWidth="1" min="40" max="40"/>
    <col width="11" customWidth="1" min="41" max="41"/>
    <col width="13" customWidth="1" min="42" max="42"/>
    <col width="20" customWidth="1" min="43" max="43"/>
    <col width="13" customWidth="1" min="44" max="44"/>
    <col width="3" customWidth="1" min="45" max="45"/>
    <col width="11" customWidth="1" min="46" max="46"/>
    <col width="11" customWidth="1" min="47" max="47"/>
    <col width="13" customWidth="1" min="48" max="48"/>
    <col width="20" customWidth="1" min="49" max="49"/>
    <col width="13" customWidth="1" min="50" max="50"/>
    <col width="3" customWidth="1" min="51" max="51"/>
    <col width="3" customWidth="1" min="52" max="52"/>
    <col width="26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9" customWidth="1" min="61" max="61"/>
    <col width="14" customWidth="1" min="62" max="62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B1" s="24">
        <f>Calc!M3&amp;"  ·  "&amp;INDEX(Calc!$F$10:$F$15,$B$2)</f>
        <v/>
      </c>
      <c r="H1" s="25">
        <f>Calc!$B$1</f>
        <v/>
      </c>
    </row>
    <row r="2">
      <c r="B2" s="26" t="n">
        <v>6</v>
      </c>
      <c r="D2" s="17">
        <f>HYPERLINK("#'Month'!A1","◀ Month")</f>
        <v/>
      </c>
      <c r="F2" s="17">
        <f>HYPERLINK("#'W5'!A1","‹ Prev")</f>
        <v/>
      </c>
    </row>
    <row r="3">
      <c r="B3" s="27">
        <f>IF(INDEX(Calc!$E$10:$E$15,$B$2),"","This week is not used in "&amp;Calc!$M$2&amp;".")</f>
        <v/>
      </c>
    </row>
    <row r="4">
      <c r="BA4" s="6">
        <f>IF(Settings!$C$100="",Settings!$B$100,Settings!$C$100)</f>
        <v/>
      </c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</row>
    <row r="5">
      <c r="B5" s="28">
        <f>LEFT(Calc!D1,2)</f>
        <v/>
      </c>
      <c r="C5" s="28">
        <f>LEFT(Calc!E1,2)</f>
        <v/>
      </c>
      <c r="D5" s="28">
        <f>LEFT(Calc!F1,2)</f>
        <v/>
      </c>
      <c r="E5" s="28">
        <f>LEFT(Calc!G1,2)</f>
        <v/>
      </c>
      <c r="F5" s="28">
        <f>LEFT(Calc!H1,2)</f>
        <v/>
      </c>
      <c r="G5" s="28">
        <f>LEFT(Calc!I1,2)</f>
        <v/>
      </c>
      <c r="H5" s="28">
        <f>LEFT(Calc!J1,2)</f>
        <v/>
      </c>
      <c r="J5" s="29">
        <f>IF(INDEX(Settings!$C$69:$C$75,WEEKDAY($N$5,1))="",INDEX(Settings!$B$69:$B$75,WEEKDAY($N$5,1)),INDEX(Settings!$C$69:$C$75,WEEKDAY($N$5,1)))</f>
        <v/>
      </c>
      <c r="K5" s="29" t="n"/>
      <c r="L5" s="29" t="n"/>
      <c r="M5" s="29" t="n"/>
      <c r="N5" s="30">
        <f>INDEX(Calc!$D$3:$J$8,$B$2,1)</f>
        <v/>
      </c>
      <c r="P5" s="29">
        <f>IF(INDEX(Settings!$C$69:$C$75,WEEKDAY($T$5,1))="",INDEX(Settings!$B$69:$B$75,WEEKDAY($T$5,1)),INDEX(Settings!$C$69:$C$75,WEEKDAY($T$5,1)))</f>
        <v/>
      </c>
      <c r="Q5" s="29" t="n"/>
      <c r="R5" s="29" t="n"/>
      <c r="S5" s="29" t="n"/>
      <c r="T5" s="30">
        <f>INDEX(Calc!$D$3:$J$8,$B$2,2)</f>
        <v/>
      </c>
      <c r="V5" s="29">
        <f>IF(INDEX(Settings!$C$69:$C$75,WEEKDAY($Z$5,1))="",INDEX(Settings!$B$69:$B$75,WEEKDAY($Z$5,1)),INDEX(Settings!$C$69:$C$75,WEEKDAY($Z$5,1)))</f>
        <v/>
      </c>
      <c r="W5" s="29" t="n"/>
      <c r="X5" s="29" t="n"/>
      <c r="Y5" s="29" t="n"/>
      <c r="Z5" s="30">
        <f>INDEX(Calc!$D$3:$J$8,$B$2,3)</f>
        <v/>
      </c>
      <c r="AB5" s="29">
        <f>IF(INDEX(Settings!$C$69:$C$75,WEEKDAY($AF$5,1))="",INDEX(Settings!$B$69:$B$75,WEEKDAY($AF$5,1)),INDEX(Settings!$C$69:$C$75,WEEKDAY($AF$5,1)))</f>
        <v/>
      </c>
      <c r="AC5" s="29" t="n"/>
      <c r="AD5" s="29" t="n"/>
      <c r="AE5" s="29" t="n"/>
      <c r="AF5" s="30">
        <f>INDEX(Calc!$D$3:$J$8,$B$2,4)</f>
        <v/>
      </c>
      <c r="AH5" s="29">
        <f>IF(INDEX(Settings!$C$69:$C$75,WEEKDAY($AL$5,1))="",INDEX(Settings!$B$69:$B$75,WEEKDAY($AL$5,1)),INDEX(Settings!$C$69:$C$75,WEEKDAY($AL$5,1)))</f>
        <v/>
      </c>
      <c r="AI5" s="29" t="n"/>
      <c r="AJ5" s="29" t="n"/>
      <c r="AK5" s="29" t="n"/>
      <c r="AL5" s="30">
        <f>INDEX(Calc!$D$3:$J$8,$B$2,5)</f>
        <v/>
      </c>
      <c r="AN5" s="29">
        <f>IF(INDEX(Settings!$C$69:$C$75,WEEKDAY($AR$5,1))="",INDEX(Settings!$B$69:$B$75,WEEKDAY($AR$5,1)),INDEX(Settings!$C$69:$C$75,WEEKDAY($AR$5,1)))</f>
        <v/>
      </c>
      <c r="AO5" s="29" t="n"/>
      <c r="AP5" s="29" t="n"/>
      <c r="AQ5" s="29" t="n"/>
      <c r="AR5" s="30">
        <f>INDEX(Calc!$D$3:$J$8,$B$2,6)</f>
        <v/>
      </c>
      <c r="AT5" s="29">
        <f>IF(INDEX(Settings!$C$69:$C$75,WEEKDAY($AX$5,1))="",INDEX(Settings!$B$69:$B$75,WEEKDAY($AX$5,1)),INDEX(Settings!$C$69:$C$75,WEEKDAY($AX$5,1)))</f>
        <v/>
      </c>
      <c r="AU5" s="29" t="n"/>
      <c r="AV5" s="29" t="n"/>
      <c r="AW5" s="29" t="n"/>
      <c r="AX5" s="30">
        <f>INDEX(Calc!$D$3:$J$8,$B$2,7)</f>
        <v/>
      </c>
      <c r="BA5" s="31" t="n"/>
      <c r="BB5" s="32">
        <f>LEFT(IF(INDEX(Settings!$C$69:$C$75,WEEKDAY(INDEX(Calc!$D$3:$J$8,$B$2,1),1))="",INDEX(Settings!$B$69:$B$75,WEEKDAY(INDEX(Calc!$D$3:$J$8,$B$2,1),1)),INDEX(Settings!$C$69:$C$75,WEEKDAY(INDEX(Calc!$D$3:$J$8,$B$2,1),1))),3)</f>
        <v/>
      </c>
      <c r="BC5" s="32">
        <f>LEFT(IF(INDEX(Settings!$C$69:$C$75,WEEKDAY(INDEX(Calc!$D$3:$J$8,$B$2,2),1))="",INDEX(Settings!$B$69:$B$75,WEEKDAY(INDEX(Calc!$D$3:$J$8,$B$2,2),1)),INDEX(Settings!$C$69:$C$75,WEEKDAY(INDEX(Calc!$D$3:$J$8,$B$2,2),1))),3)</f>
        <v/>
      </c>
      <c r="BD5" s="32">
        <f>LEFT(IF(INDEX(Settings!$C$69:$C$75,WEEKDAY(INDEX(Calc!$D$3:$J$8,$B$2,3),1))="",INDEX(Settings!$B$69:$B$75,WEEKDAY(INDEX(Calc!$D$3:$J$8,$B$2,3),1)),INDEX(Settings!$C$69:$C$75,WEEKDAY(INDEX(Calc!$D$3:$J$8,$B$2,3),1))),3)</f>
        <v/>
      </c>
      <c r="BE5" s="32">
        <f>LEFT(IF(INDEX(Settings!$C$69:$C$75,WEEKDAY(INDEX(Calc!$D$3:$J$8,$B$2,4),1))="",INDEX(Settings!$B$69:$B$75,WEEKDAY(INDEX(Calc!$D$3:$J$8,$B$2,4),1)),INDEX(Settings!$C$69:$C$75,WEEKDAY(INDEX(Calc!$D$3:$J$8,$B$2,4),1))),3)</f>
        <v/>
      </c>
      <c r="BF5" s="32">
        <f>LEFT(IF(INDEX(Settings!$C$69:$C$75,WEEKDAY(INDEX(Calc!$D$3:$J$8,$B$2,5),1))="",INDEX(Settings!$B$69:$B$75,WEEKDAY(INDEX(Calc!$D$3:$J$8,$B$2,5),1)),INDEX(Settings!$C$69:$C$75,WEEKDAY(INDEX(Calc!$D$3:$J$8,$B$2,5),1))),3)</f>
        <v/>
      </c>
      <c r="BG5" s="32">
        <f>LEFT(IF(INDEX(Settings!$C$69:$C$75,WEEKDAY(INDEX(Calc!$D$3:$J$8,$B$2,6),1))="",INDEX(Settings!$B$69:$B$75,WEEKDAY(INDEX(Calc!$D$3:$J$8,$B$2,6),1)),INDEX(Settings!$C$69:$C$75,WEEKDAY(INDEX(Calc!$D$3:$J$8,$B$2,6),1))),3)</f>
        <v/>
      </c>
      <c r="BH5" s="32">
        <f>LEFT(IF(INDEX(Settings!$C$69:$C$75,WEEKDAY(INDEX(Calc!$D$3:$J$8,$B$2,7),1))="",INDEX(Settings!$B$69:$B$75,WEEKDAY(INDEX(Calc!$D$3:$J$8,$B$2,7),1)),INDEX(Settings!$C$69:$C$75,WEEKDAY(INDEX(Calc!$D$3:$J$8,$B$2,7),1))),3)</f>
        <v/>
      </c>
      <c r="BI5" s="32" t="inlineStr">
        <is>
          <t>%</t>
        </is>
      </c>
      <c r="BJ5" s="31" t="inlineStr">
        <is>
          <t>Progress</t>
        </is>
      </c>
    </row>
    <row r="6">
      <c r="B6" s="33">
        <f>Calc!D3</f>
        <v/>
      </c>
      <c r="C6" s="33">
        <f>Calc!E3</f>
        <v/>
      </c>
      <c r="D6" s="33">
        <f>Calc!F3</f>
        <v/>
      </c>
      <c r="E6" s="33">
        <f>Calc!G3</f>
        <v/>
      </c>
      <c r="F6" s="33">
        <f>Calc!H3</f>
        <v/>
      </c>
      <c r="G6" s="33">
        <f>Calc!I3</f>
        <v/>
      </c>
      <c r="H6" s="33">
        <f>Calc!J3</f>
        <v/>
      </c>
      <c r="J6" s="34">
        <f>IFERROR(SUMPRODUCT((M47:M56&lt;&gt;"")*(J47:J56=TRUE))/SUMPRODUCT((M47:M56&lt;&gt;"")*1),0)</f>
        <v/>
      </c>
      <c r="K6" s="35">
        <f>IF(J6="","",REPT("█",ROUND(J6*14,0))&amp;REPT("░",14-ROUND(J6*14,0)))</f>
        <v/>
      </c>
      <c r="L6" s="13" t="n"/>
      <c r="M6" s="13" t="n"/>
      <c r="N6" s="13" t="n"/>
      <c r="P6" s="34">
        <f>IFERROR(SUMPRODUCT((S47:S56&lt;&gt;"")*(P47:P56=TRUE))/SUMPRODUCT((S47:S56&lt;&gt;"")*1),0)</f>
        <v/>
      </c>
      <c r="Q6" s="35">
        <f>IF(P6="","",REPT("█",ROUND(P6*14,0))&amp;REPT("░",14-ROUND(P6*14,0)))</f>
        <v/>
      </c>
      <c r="R6" s="13" t="n"/>
      <c r="S6" s="13" t="n"/>
      <c r="T6" s="13" t="n"/>
      <c r="V6" s="34">
        <f>IFERROR(SUMPRODUCT((Y47:Y56&lt;&gt;"")*(V47:V56=TRUE))/SUMPRODUCT((Y47:Y56&lt;&gt;"")*1),0)</f>
        <v/>
      </c>
      <c r="W6" s="35">
        <f>IF(V6="","",REPT("█",ROUND(V6*14,0))&amp;REPT("░",14-ROUND(V6*14,0)))</f>
        <v/>
      </c>
      <c r="X6" s="13" t="n"/>
      <c r="Y6" s="13" t="n"/>
      <c r="Z6" s="13" t="n"/>
      <c r="AB6" s="34">
        <f>IFERROR(SUMPRODUCT((AE47:AE56&lt;&gt;"")*(AB47:AB56=TRUE))/SUMPRODUCT((AE47:AE56&lt;&gt;"")*1),0)</f>
        <v/>
      </c>
      <c r="AC6" s="35">
        <f>IF(AB6="","",REPT("█",ROUND(AB6*14,0))&amp;REPT("░",14-ROUND(AB6*14,0)))</f>
        <v/>
      </c>
      <c r="AD6" s="13" t="n"/>
      <c r="AE6" s="13" t="n"/>
      <c r="AF6" s="13" t="n"/>
      <c r="AH6" s="34">
        <f>IFERROR(SUMPRODUCT((AK47:AK56&lt;&gt;"")*(AH47:AH56=TRUE))/SUMPRODUCT((AK47:AK56&lt;&gt;"")*1),0)</f>
        <v/>
      </c>
      <c r="AI6" s="35">
        <f>IF(AH6="","",REPT("█",ROUND(AH6*14,0))&amp;REPT("░",14-ROUND(AH6*14,0)))</f>
        <v/>
      </c>
      <c r="AJ6" s="13" t="n"/>
      <c r="AK6" s="13" t="n"/>
      <c r="AL6" s="13" t="n"/>
      <c r="AN6" s="34">
        <f>IFERROR(SUMPRODUCT((AQ47:AQ56&lt;&gt;"")*(AN47:AN56=TRUE))/SUMPRODUCT((AQ47:AQ56&lt;&gt;"")*1),0)</f>
        <v/>
      </c>
      <c r="AO6" s="35">
        <f>IF(AN6="","",REPT("█",ROUND(AN6*14,0))&amp;REPT("░",14-ROUND(AN6*14,0)))</f>
        <v/>
      </c>
      <c r="AP6" s="13" t="n"/>
      <c r="AQ6" s="13" t="n"/>
      <c r="AR6" s="13" t="n"/>
      <c r="AT6" s="34">
        <f>IFERROR(SUMPRODUCT((AW47:AW56&lt;&gt;"")*(AT47:AT56=TRUE))/SUMPRODUCT((AW47:AW56&lt;&gt;"")*1),0)</f>
        <v/>
      </c>
      <c r="AU6" s="35">
        <f>IF(AT6="","",REPT("█",ROUND(AT6*14,0))&amp;REPT("░",14-ROUND(AT6*14,0)))</f>
        <v/>
      </c>
      <c r="AV6" s="13" t="n"/>
      <c r="AW6" s="13" t="n"/>
      <c r="AX6" s="13" t="n"/>
      <c r="BA6" s="13">
        <f>IF(Settings!$B$37="","",Settings!$B$37)</f>
        <v/>
      </c>
      <c r="BB6" s="14" t="b">
        <v>0</v>
      </c>
      <c r="BC6" s="14" t="b">
        <v>0</v>
      </c>
      <c r="BD6" s="14" t="b">
        <v>0</v>
      </c>
      <c r="BE6" s="14" t="b">
        <v>0</v>
      </c>
      <c r="BF6" s="14" t="b">
        <v>0</v>
      </c>
      <c r="BG6" s="14" t="b">
        <v>0</v>
      </c>
      <c r="BH6" s="14" t="b">
        <v>0</v>
      </c>
      <c r="BI6" s="34">
        <f>IF($BA6="","",COUNTIF(BB6:BH6,TRUE)/7)</f>
        <v/>
      </c>
      <c r="BJ6" s="36">
        <f>IF(BI6="","",REPT("█",ROUND(BI6*10,0))&amp;REPT("░",10-ROUND(BI6*10,0)))</f>
        <v/>
      </c>
    </row>
    <row r="7">
      <c r="B7" s="33">
        <f>Calc!D4</f>
        <v/>
      </c>
      <c r="C7" s="33">
        <f>Calc!E4</f>
        <v/>
      </c>
      <c r="D7" s="33">
        <f>Calc!F4</f>
        <v/>
      </c>
      <c r="E7" s="33">
        <f>Calc!G4</f>
        <v/>
      </c>
      <c r="F7" s="33">
        <f>Calc!H4</f>
        <v/>
      </c>
      <c r="G7" s="33">
        <f>Calc!I4</f>
        <v/>
      </c>
      <c r="H7" s="33">
        <f>Calc!J4</f>
        <v/>
      </c>
      <c r="BA7" s="13">
        <f>IF(Settings!$B$38="","",Settings!$B$38)</f>
        <v/>
      </c>
      <c r="BB7" s="14" t="b">
        <v>0</v>
      </c>
      <c r="BC7" s="14" t="b">
        <v>0</v>
      </c>
      <c r="BD7" s="14" t="b">
        <v>0</v>
      </c>
      <c r="BE7" s="14" t="b">
        <v>0</v>
      </c>
      <c r="BF7" s="14" t="b">
        <v>0</v>
      </c>
      <c r="BG7" s="14" t="b">
        <v>0</v>
      </c>
      <c r="BH7" s="14" t="b">
        <v>0</v>
      </c>
      <c r="BI7" s="34">
        <f>IF($BA7="","",COUNTIF(BB7:BH7,TRUE)/7)</f>
        <v/>
      </c>
      <c r="BJ7" s="36">
        <f>IF(BI7="","",REPT("█",ROUND(BI7*10,0))&amp;REPT("░",10-ROUND(BI7*10,0)))</f>
        <v/>
      </c>
    </row>
    <row r="8">
      <c r="B8" s="33">
        <f>Calc!D5</f>
        <v/>
      </c>
      <c r="C8" s="33">
        <f>Calc!E5</f>
        <v/>
      </c>
      <c r="D8" s="33">
        <f>Calc!F5</f>
        <v/>
      </c>
      <c r="E8" s="33">
        <f>Calc!G5</f>
        <v/>
      </c>
      <c r="F8" s="33">
        <f>Calc!H5</f>
        <v/>
      </c>
      <c r="G8" s="33">
        <f>Calc!I5</f>
        <v/>
      </c>
      <c r="H8" s="33">
        <f>Calc!J5</f>
        <v/>
      </c>
      <c r="J8" s="6">
        <f>IF(Settings!$C$98="",Settings!$B$98,Settings!$C$98)</f>
        <v/>
      </c>
      <c r="K8" s="6" t="n"/>
      <c r="L8" s="6" t="n"/>
      <c r="M8" s="6" t="n"/>
      <c r="N8" s="6" t="n"/>
      <c r="P8" s="6">
        <f>IF(Settings!$C$98="",Settings!$B$98,Settings!$C$98)</f>
        <v/>
      </c>
      <c r="Q8" s="6" t="n"/>
      <c r="R8" s="6" t="n"/>
      <c r="S8" s="6" t="n"/>
      <c r="T8" s="6" t="n"/>
      <c r="V8" s="6">
        <f>IF(Settings!$C$98="",Settings!$B$98,Settings!$C$98)</f>
        <v/>
      </c>
      <c r="W8" s="6" t="n"/>
      <c r="X8" s="6" t="n"/>
      <c r="Y8" s="6" t="n"/>
      <c r="Z8" s="6" t="n"/>
      <c r="AB8" s="6">
        <f>IF(Settings!$C$98="",Settings!$B$98,Settings!$C$98)</f>
        <v/>
      </c>
      <c r="AC8" s="6" t="n"/>
      <c r="AD8" s="6" t="n"/>
      <c r="AE8" s="6" t="n"/>
      <c r="AF8" s="6" t="n"/>
      <c r="AH8" s="6">
        <f>IF(Settings!$C$98="",Settings!$B$98,Settings!$C$98)</f>
        <v/>
      </c>
      <c r="AI8" s="6" t="n"/>
      <c r="AJ8" s="6" t="n"/>
      <c r="AK8" s="6" t="n"/>
      <c r="AL8" s="6" t="n"/>
      <c r="AN8" s="6">
        <f>IF(Settings!$C$98="",Settings!$B$98,Settings!$C$98)</f>
        <v/>
      </c>
      <c r="AO8" s="6" t="n"/>
      <c r="AP8" s="6" t="n"/>
      <c r="AQ8" s="6" t="n"/>
      <c r="AR8" s="6" t="n"/>
      <c r="AT8" s="6">
        <f>IF(Settings!$C$98="",Settings!$B$98,Settings!$C$98)</f>
        <v/>
      </c>
      <c r="AU8" s="6" t="n"/>
      <c r="AV8" s="6" t="n"/>
      <c r="AW8" s="6" t="n"/>
      <c r="AX8" s="6" t="n"/>
      <c r="BA8" s="13">
        <f>IF(Settings!$B$39="","",Settings!$B$39)</f>
        <v/>
      </c>
      <c r="BB8" s="14" t="b">
        <v>0</v>
      </c>
      <c r="BC8" s="14" t="b">
        <v>0</v>
      </c>
      <c r="BD8" s="14" t="b">
        <v>0</v>
      </c>
      <c r="BE8" s="14" t="b">
        <v>0</v>
      </c>
      <c r="BF8" s="14" t="b">
        <v>0</v>
      </c>
      <c r="BG8" s="14" t="b">
        <v>0</v>
      </c>
      <c r="BH8" s="14" t="b">
        <v>0</v>
      </c>
      <c r="BI8" s="34">
        <f>IF($BA8="","",COUNTIF(BB8:BH8,TRUE)/7)</f>
        <v/>
      </c>
      <c r="BJ8" s="36">
        <f>IF(BI8="","",REPT("█",ROUND(BI8*10,0))&amp;REPT("░",10-ROUND(BI8*10,0)))</f>
        <v/>
      </c>
    </row>
    <row r="9">
      <c r="B9" s="33">
        <f>Calc!D6</f>
        <v/>
      </c>
      <c r="C9" s="33">
        <f>Calc!E6</f>
        <v/>
      </c>
      <c r="D9" s="33">
        <f>Calc!F6</f>
        <v/>
      </c>
      <c r="E9" s="33">
        <f>Calc!G6</f>
        <v/>
      </c>
      <c r="F9" s="33">
        <f>Calc!H6</f>
        <v/>
      </c>
      <c r="G9" s="33">
        <f>Calc!I6</f>
        <v/>
      </c>
      <c r="H9" s="33">
        <f>Calc!J6</f>
        <v/>
      </c>
      <c r="J9" s="37">
        <f>IF(0*Settings!$C$7&gt;=1440,"",MOD(ROUND((Settings!$C$6+0*Settings!$C$7/1440)*1440,0),1440)/1440)</f>
        <v/>
      </c>
      <c r="K9" s="8" t="n"/>
      <c r="L9" s="8" t="n"/>
      <c r="M9" s="8" t="n"/>
      <c r="N9" s="8" t="n"/>
      <c r="P9" s="37">
        <f>IF(0*Settings!$C$7&gt;=1440,"",MOD(ROUND((Settings!$C$6+0*Settings!$C$7/1440)*1440,0),1440)/1440)</f>
        <v/>
      </c>
      <c r="Q9" s="8" t="n"/>
      <c r="R9" s="8" t="n"/>
      <c r="S9" s="8" t="n"/>
      <c r="T9" s="8" t="n"/>
      <c r="V9" s="37">
        <f>IF(0*Settings!$C$7&gt;=1440,"",MOD(ROUND((Settings!$C$6+0*Settings!$C$7/1440)*1440,0),1440)/1440)</f>
        <v/>
      </c>
      <c r="W9" s="8" t="n"/>
      <c r="X9" s="8" t="n"/>
      <c r="Y9" s="8" t="n"/>
      <c r="Z9" s="8" t="n"/>
      <c r="AB9" s="37">
        <f>IF(0*Settings!$C$7&gt;=1440,"",MOD(ROUND((Settings!$C$6+0*Settings!$C$7/1440)*1440,0),1440)/1440)</f>
        <v/>
      </c>
      <c r="AC9" s="8" t="n"/>
      <c r="AD9" s="8" t="n"/>
      <c r="AE9" s="8" t="n"/>
      <c r="AF9" s="8" t="n"/>
      <c r="AH9" s="37">
        <f>IF(0*Settings!$C$7&gt;=1440,"",MOD(ROUND((Settings!$C$6+0*Settings!$C$7/1440)*1440,0),1440)/1440)</f>
        <v/>
      </c>
      <c r="AI9" s="8" t="n"/>
      <c r="AJ9" s="8" t="n"/>
      <c r="AK9" s="8" t="n"/>
      <c r="AL9" s="8" t="n"/>
      <c r="AN9" s="37">
        <f>IF(0*Settings!$C$7&gt;=1440,"",MOD(ROUND((Settings!$C$6+0*Settings!$C$7/1440)*1440,0),1440)/1440)</f>
        <v/>
      </c>
      <c r="AO9" s="8" t="n"/>
      <c r="AP9" s="8" t="n"/>
      <c r="AQ9" s="8" t="n"/>
      <c r="AR9" s="8" t="n"/>
      <c r="AT9" s="37">
        <f>IF(0*Settings!$C$7&gt;=1440,"",MOD(ROUND((Settings!$C$6+0*Settings!$C$7/1440)*1440,0),1440)/1440)</f>
        <v/>
      </c>
      <c r="AU9" s="8" t="n"/>
      <c r="AV9" s="8" t="n"/>
      <c r="AW9" s="8" t="n"/>
      <c r="AX9" s="8" t="n"/>
      <c r="BA9" s="13">
        <f>IF(Settings!$B$40="","",Settings!$B$40)</f>
        <v/>
      </c>
      <c r="BB9" s="14" t="b">
        <v>0</v>
      </c>
      <c r="BC9" s="14" t="b">
        <v>0</v>
      </c>
      <c r="BD9" s="14" t="b">
        <v>0</v>
      </c>
      <c r="BE9" s="14" t="b">
        <v>0</v>
      </c>
      <c r="BF9" s="14" t="b">
        <v>0</v>
      </c>
      <c r="BG9" s="14" t="b">
        <v>0</v>
      </c>
      <c r="BH9" s="14" t="b">
        <v>0</v>
      </c>
      <c r="BI9" s="34">
        <f>IF($BA9="","",COUNTIF(BB9:BH9,TRUE)/7)</f>
        <v/>
      </c>
      <c r="BJ9" s="36">
        <f>IF(BI9="","",REPT("█",ROUND(BI9*10,0))&amp;REPT("░",10-ROUND(BI9*10,0)))</f>
        <v/>
      </c>
    </row>
    <row r="10">
      <c r="B10" s="33">
        <f>Calc!D7</f>
        <v/>
      </c>
      <c r="C10" s="33">
        <f>Calc!E7</f>
        <v/>
      </c>
      <c r="D10" s="33">
        <f>Calc!F7</f>
        <v/>
      </c>
      <c r="E10" s="33">
        <f>Calc!G7</f>
        <v/>
      </c>
      <c r="F10" s="33">
        <f>Calc!H7</f>
        <v/>
      </c>
      <c r="G10" s="33">
        <f>Calc!I7</f>
        <v/>
      </c>
      <c r="H10" s="33">
        <f>Calc!J7</f>
        <v/>
      </c>
      <c r="J10" s="37">
        <f>IF(1*Settings!$C$7&gt;=1440,"",MOD(ROUND((Settings!$C$6+1*Settings!$C$7/1440)*1440,0),1440)/1440)</f>
        <v/>
      </c>
      <c r="K10" s="8" t="n"/>
      <c r="L10" s="8" t="n"/>
      <c r="M10" s="8" t="n"/>
      <c r="N10" s="8" t="n"/>
      <c r="P10" s="37">
        <f>IF(1*Settings!$C$7&gt;=1440,"",MOD(ROUND((Settings!$C$6+1*Settings!$C$7/1440)*1440,0),1440)/1440)</f>
        <v/>
      </c>
      <c r="Q10" s="8" t="n"/>
      <c r="R10" s="8" t="n"/>
      <c r="S10" s="8" t="n"/>
      <c r="T10" s="8" t="n"/>
      <c r="V10" s="37">
        <f>IF(1*Settings!$C$7&gt;=1440,"",MOD(ROUND((Settings!$C$6+1*Settings!$C$7/1440)*1440,0),1440)/1440)</f>
        <v/>
      </c>
      <c r="W10" s="8" t="n"/>
      <c r="X10" s="8" t="n"/>
      <c r="Y10" s="8" t="n"/>
      <c r="Z10" s="8" t="n"/>
      <c r="AB10" s="37">
        <f>IF(1*Settings!$C$7&gt;=1440,"",MOD(ROUND((Settings!$C$6+1*Settings!$C$7/1440)*1440,0),1440)/1440)</f>
        <v/>
      </c>
      <c r="AC10" s="8" t="n"/>
      <c r="AD10" s="8" t="n"/>
      <c r="AE10" s="8" t="n"/>
      <c r="AF10" s="8" t="n"/>
      <c r="AH10" s="37">
        <f>IF(1*Settings!$C$7&gt;=1440,"",MOD(ROUND((Settings!$C$6+1*Settings!$C$7/1440)*1440,0),1440)/1440)</f>
        <v/>
      </c>
      <c r="AI10" s="8" t="n"/>
      <c r="AJ10" s="8" t="n"/>
      <c r="AK10" s="8" t="n"/>
      <c r="AL10" s="8" t="n"/>
      <c r="AN10" s="37">
        <f>IF(1*Settings!$C$7&gt;=1440,"",MOD(ROUND((Settings!$C$6+1*Settings!$C$7/1440)*1440,0),1440)/1440)</f>
        <v/>
      </c>
      <c r="AO10" s="8" t="n"/>
      <c r="AP10" s="8" t="n"/>
      <c r="AQ10" s="8" t="n"/>
      <c r="AR10" s="8" t="n"/>
      <c r="AT10" s="37">
        <f>IF(1*Settings!$C$7&gt;=1440,"",MOD(ROUND((Settings!$C$6+1*Settings!$C$7/1440)*1440,0),1440)/1440)</f>
        <v/>
      </c>
      <c r="AU10" s="8" t="n"/>
      <c r="AV10" s="8" t="n"/>
      <c r="AW10" s="8" t="n"/>
      <c r="AX10" s="8" t="n"/>
      <c r="BA10" s="13">
        <f>IF(Settings!$B$41="","",Settings!$B$41)</f>
        <v/>
      </c>
      <c r="BB10" s="14" t="b">
        <v>0</v>
      </c>
      <c r="BC10" s="14" t="b">
        <v>0</v>
      </c>
      <c r="BD10" s="14" t="b">
        <v>0</v>
      </c>
      <c r="BE10" s="14" t="b">
        <v>0</v>
      </c>
      <c r="BF10" s="14" t="b">
        <v>0</v>
      </c>
      <c r="BG10" s="14" t="b">
        <v>0</v>
      </c>
      <c r="BH10" s="14" t="b">
        <v>0</v>
      </c>
      <c r="BI10" s="34">
        <f>IF($BA10="","",COUNTIF(BB10:BH10,TRUE)/7)</f>
        <v/>
      </c>
      <c r="BJ10" s="36">
        <f>IF(BI10="","",REPT("█",ROUND(BI10*10,0))&amp;REPT("░",10-ROUND(BI10*10,0)))</f>
        <v/>
      </c>
    </row>
    <row r="11">
      <c r="B11" s="33">
        <f>Calc!D8</f>
        <v/>
      </c>
      <c r="C11" s="33">
        <f>Calc!E8</f>
        <v/>
      </c>
      <c r="D11" s="33">
        <f>Calc!F8</f>
        <v/>
      </c>
      <c r="E11" s="33">
        <f>Calc!G8</f>
        <v/>
      </c>
      <c r="F11" s="33">
        <f>Calc!H8</f>
        <v/>
      </c>
      <c r="G11" s="33">
        <f>Calc!I8</f>
        <v/>
      </c>
      <c r="H11" s="33">
        <f>Calc!J8</f>
        <v/>
      </c>
      <c r="J11" s="37">
        <f>IF(2*Settings!$C$7&gt;=1440,"",MOD(ROUND((Settings!$C$6+2*Settings!$C$7/1440)*1440,0),1440)/1440)</f>
        <v/>
      </c>
      <c r="K11" s="8" t="n"/>
      <c r="L11" s="8" t="n"/>
      <c r="M11" s="8" t="n"/>
      <c r="N11" s="8" t="n"/>
      <c r="P11" s="37">
        <f>IF(2*Settings!$C$7&gt;=1440,"",MOD(ROUND((Settings!$C$6+2*Settings!$C$7/1440)*1440,0),1440)/1440)</f>
        <v/>
      </c>
      <c r="Q11" s="8" t="n"/>
      <c r="R11" s="8" t="n"/>
      <c r="S11" s="8" t="n"/>
      <c r="T11" s="8" t="n"/>
      <c r="V11" s="37">
        <f>IF(2*Settings!$C$7&gt;=1440,"",MOD(ROUND((Settings!$C$6+2*Settings!$C$7/1440)*1440,0),1440)/1440)</f>
        <v/>
      </c>
      <c r="W11" s="8" t="n"/>
      <c r="X11" s="8" t="n"/>
      <c r="Y11" s="8" t="n"/>
      <c r="Z11" s="8" t="n"/>
      <c r="AB11" s="37">
        <f>IF(2*Settings!$C$7&gt;=1440,"",MOD(ROUND((Settings!$C$6+2*Settings!$C$7/1440)*1440,0),1440)/1440)</f>
        <v/>
      </c>
      <c r="AC11" s="8" t="n"/>
      <c r="AD11" s="8" t="n"/>
      <c r="AE11" s="8" t="n"/>
      <c r="AF11" s="8" t="n"/>
      <c r="AH11" s="37">
        <f>IF(2*Settings!$C$7&gt;=1440,"",MOD(ROUND((Settings!$C$6+2*Settings!$C$7/1440)*1440,0),1440)/1440)</f>
        <v/>
      </c>
      <c r="AI11" s="8" t="n"/>
      <c r="AJ11" s="8" t="n"/>
      <c r="AK11" s="8" t="n"/>
      <c r="AL11" s="8" t="n"/>
      <c r="AN11" s="37">
        <f>IF(2*Settings!$C$7&gt;=1440,"",MOD(ROUND((Settings!$C$6+2*Settings!$C$7/1440)*1440,0),1440)/1440)</f>
        <v/>
      </c>
      <c r="AO11" s="8" t="n"/>
      <c r="AP11" s="8" t="n"/>
      <c r="AQ11" s="8" t="n"/>
      <c r="AR11" s="8" t="n"/>
      <c r="AT11" s="37">
        <f>IF(2*Settings!$C$7&gt;=1440,"",MOD(ROUND((Settings!$C$6+2*Settings!$C$7/1440)*1440,0),1440)/1440)</f>
        <v/>
      </c>
      <c r="AU11" s="8" t="n"/>
      <c r="AV11" s="8" t="n"/>
      <c r="AW11" s="8" t="n"/>
      <c r="AX11" s="8" t="n"/>
      <c r="BA11" s="13">
        <f>IF(Settings!$B$42="","",Settings!$B$42)</f>
        <v/>
      </c>
      <c r="BB11" s="14" t="b">
        <v>0</v>
      </c>
      <c r="BC11" s="14" t="b">
        <v>0</v>
      </c>
      <c r="BD11" s="14" t="b">
        <v>0</v>
      </c>
      <c r="BE11" s="14" t="b">
        <v>0</v>
      </c>
      <c r="BF11" s="14" t="b">
        <v>0</v>
      </c>
      <c r="BG11" s="14" t="b">
        <v>0</v>
      </c>
      <c r="BH11" s="14" t="b">
        <v>0</v>
      </c>
      <c r="BI11" s="34">
        <f>IF($BA11="","",COUNTIF(BB11:BH11,TRUE)/7)</f>
        <v/>
      </c>
      <c r="BJ11" s="36">
        <f>IF(BI11="","",REPT("█",ROUND(BI11*10,0))&amp;REPT("░",10-ROUND(BI11*10,0)))</f>
        <v/>
      </c>
    </row>
    <row r="12">
      <c r="J12" s="37">
        <f>IF(3*Settings!$C$7&gt;=1440,"",MOD(ROUND((Settings!$C$6+3*Settings!$C$7/1440)*1440,0),1440)/1440)</f>
        <v/>
      </c>
      <c r="K12" s="8" t="n"/>
      <c r="L12" s="8" t="n"/>
      <c r="M12" s="8" t="n"/>
      <c r="N12" s="8" t="n"/>
      <c r="P12" s="37">
        <f>IF(3*Settings!$C$7&gt;=1440,"",MOD(ROUND((Settings!$C$6+3*Settings!$C$7/1440)*1440,0),1440)/1440)</f>
        <v/>
      </c>
      <c r="Q12" s="8" t="n"/>
      <c r="R12" s="8" t="n"/>
      <c r="S12" s="8" t="n"/>
      <c r="T12" s="8" t="n"/>
      <c r="V12" s="37">
        <f>IF(3*Settings!$C$7&gt;=1440,"",MOD(ROUND((Settings!$C$6+3*Settings!$C$7/1440)*1440,0),1440)/1440)</f>
        <v/>
      </c>
      <c r="W12" s="8" t="n"/>
      <c r="X12" s="8" t="n"/>
      <c r="Y12" s="8" t="n"/>
      <c r="Z12" s="8" t="n"/>
      <c r="AB12" s="37">
        <f>IF(3*Settings!$C$7&gt;=1440,"",MOD(ROUND((Settings!$C$6+3*Settings!$C$7/1440)*1440,0),1440)/1440)</f>
        <v/>
      </c>
      <c r="AC12" s="8" t="n"/>
      <c r="AD12" s="8" t="n"/>
      <c r="AE12" s="8" t="n"/>
      <c r="AF12" s="8" t="n"/>
      <c r="AH12" s="37">
        <f>IF(3*Settings!$C$7&gt;=1440,"",MOD(ROUND((Settings!$C$6+3*Settings!$C$7/1440)*1440,0),1440)/1440)</f>
        <v/>
      </c>
      <c r="AI12" s="8" t="n"/>
      <c r="AJ12" s="8" t="n"/>
      <c r="AK12" s="8" t="n"/>
      <c r="AL12" s="8" t="n"/>
      <c r="AN12" s="37">
        <f>IF(3*Settings!$C$7&gt;=1440,"",MOD(ROUND((Settings!$C$6+3*Settings!$C$7/1440)*1440,0),1440)/1440)</f>
        <v/>
      </c>
      <c r="AO12" s="8" t="n"/>
      <c r="AP12" s="8" t="n"/>
      <c r="AQ12" s="8" t="n"/>
      <c r="AR12" s="8" t="n"/>
      <c r="AT12" s="37">
        <f>IF(3*Settings!$C$7&gt;=1440,"",MOD(ROUND((Settings!$C$6+3*Settings!$C$7/1440)*1440,0),1440)/1440)</f>
        <v/>
      </c>
      <c r="AU12" s="8" t="n"/>
      <c r="AV12" s="8" t="n"/>
      <c r="AW12" s="8" t="n"/>
      <c r="AX12" s="8" t="n"/>
      <c r="BA12" s="13">
        <f>IF(Settings!$B$43="","",Settings!$B$43)</f>
        <v/>
      </c>
      <c r="BB12" s="14" t="b">
        <v>0</v>
      </c>
      <c r="BC12" s="14" t="b">
        <v>0</v>
      </c>
      <c r="BD12" s="14" t="b">
        <v>0</v>
      </c>
      <c r="BE12" s="14" t="b">
        <v>0</v>
      </c>
      <c r="BF12" s="14" t="b">
        <v>0</v>
      </c>
      <c r="BG12" s="14" t="b">
        <v>0</v>
      </c>
      <c r="BH12" s="14" t="b">
        <v>0</v>
      </c>
      <c r="BI12" s="34">
        <f>IF($BA12="","",COUNTIF(BB12:BH12,TRUE)/7)</f>
        <v/>
      </c>
      <c r="BJ12" s="36">
        <f>IF(BI12="","",REPT("█",ROUND(BI12*10,0))&amp;REPT("░",10-ROUND(BI12*10,0)))</f>
        <v/>
      </c>
    </row>
    <row r="13">
      <c r="J13" s="37">
        <f>IF(4*Settings!$C$7&gt;=1440,"",MOD(ROUND((Settings!$C$6+4*Settings!$C$7/1440)*1440,0),1440)/1440)</f>
        <v/>
      </c>
      <c r="K13" s="8" t="n"/>
      <c r="L13" s="8" t="n"/>
      <c r="M13" s="8" t="n"/>
      <c r="N13" s="8" t="n"/>
      <c r="P13" s="37">
        <f>IF(4*Settings!$C$7&gt;=1440,"",MOD(ROUND((Settings!$C$6+4*Settings!$C$7/1440)*1440,0),1440)/1440)</f>
        <v/>
      </c>
      <c r="Q13" s="8" t="n"/>
      <c r="R13" s="8" t="n"/>
      <c r="S13" s="8" t="n"/>
      <c r="T13" s="8" t="n"/>
      <c r="V13" s="37">
        <f>IF(4*Settings!$C$7&gt;=1440,"",MOD(ROUND((Settings!$C$6+4*Settings!$C$7/1440)*1440,0),1440)/1440)</f>
        <v/>
      </c>
      <c r="W13" s="8" t="n"/>
      <c r="X13" s="8" t="n"/>
      <c r="Y13" s="8" t="n"/>
      <c r="Z13" s="8" t="n"/>
      <c r="AB13" s="37">
        <f>IF(4*Settings!$C$7&gt;=1440,"",MOD(ROUND((Settings!$C$6+4*Settings!$C$7/1440)*1440,0),1440)/1440)</f>
        <v/>
      </c>
      <c r="AC13" s="8" t="n"/>
      <c r="AD13" s="8" t="n"/>
      <c r="AE13" s="8" t="n"/>
      <c r="AF13" s="8" t="n"/>
      <c r="AH13" s="37">
        <f>IF(4*Settings!$C$7&gt;=1440,"",MOD(ROUND((Settings!$C$6+4*Settings!$C$7/1440)*1440,0),1440)/1440)</f>
        <v/>
      </c>
      <c r="AI13" s="8" t="n"/>
      <c r="AJ13" s="8" t="n"/>
      <c r="AK13" s="8" t="n"/>
      <c r="AL13" s="8" t="n"/>
      <c r="AN13" s="37">
        <f>IF(4*Settings!$C$7&gt;=1440,"",MOD(ROUND((Settings!$C$6+4*Settings!$C$7/1440)*1440,0),1440)/1440)</f>
        <v/>
      </c>
      <c r="AO13" s="8" t="n"/>
      <c r="AP13" s="8" t="n"/>
      <c r="AQ13" s="8" t="n"/>
      <c r="AR13" s="8" t="n"/>
      <c r="AT13" s="37">
        <f>IF(4*Settings!$C$7&gt;=1440,"",MOD(ROUND((Settings!$C$6+4*Settings!$C$7/1440)*1440,0),1440)/1440)</f>
        <v/>
      </c>
      <c r="AU13" s="8" t="n"/>
      <c r="AV13" s="8" t="n"/>
      <c r="AW13" s="8" t="n"/>
      <c r="AX13" s="8" t="n"/>
      <c r="BA13" s="13">
        <f>IF(Settings!$B$44="","",Settings!$B$44)</f>
        <v/>
      </c>
      <c r="BB13" s="14" t="b">
        <v>0</v>
      </c>
      <c r="BC13" s="14" t="b">
        <v>0</v>
      </c>
      <c r="BD13" s="14" t="b">
        <v>0</v>
      </c>
      <c r="BE13" s="14" t="b">
        <v>0</v>
      </c>
      <c r="BF13" s="14" t="b">
        <v>0</v>
      </c>
      <c r="BG13" s="14" t="b">
        <v>0</v>
      </c>
      <c r="BH13" s="14" t="b">
        <v>0</v>
      </c>
      <c r="BI13" s="34">
        <f>IF($BA13="","",COUNTIF(BB13:BH13,TRUE)/7)</f>
        <v/>
      </c>
      <c r="BJ13" s="36">
        <f>IF(BI13="","",REPT("█",ROUND(BI13*10,0))&amp;REPT("░",10-ROUND(BI13*10,0)))</f>
        <v/>
      </c>
    </row>
    <row r="14">
      <c r="B14" s="6">
        <f>IF(Settings!$C$102="",Settings!$B$102,Settings!$C$102)</f>
        <v/>
      </c>
      <c r="C14" s="6" t="n"/>
      <c r="D14" s="6" t="n"/>
      <c r="E14" s="6" t="n"/>
      <c r="F14" s="6" t="n"/>
      <c r="G14" s="6" t="n"/>
      <c r="H14" s="21">
        <f>IFERROR(SUMPRODUCT((C15:C19&lt;&gt;"")*(B15:B19=TRUE))/SUMPRODUCT((C15:C19&lt;&gt;"")*1),0)</f>
        <v/>
      </c>
      <c r="J14" s="37">
        <f>IF(5*Settings!$C$7&gt;=1440,"",MOD(ROUND((Settings!$C$6+5*Settings!$C$7/1440)*1440,0),1440)/1440)</f>
        <v/>
      </c>
      <c r="K14" s="8" t="n"/>
      <c r="L14" s="8" t="n"/>
      <c r="M14" s="8" t="n"/>
      <c r="N14" s="8" t="n"/>
      <c r="P14" s="37">
        <f>IF(5*Settings!$C$7&gt;=1440,"",MOD(ROUND((Settings!$C$6+5*Settings!$C$7/1440)*1440,0),1440)/1440)</f>
        <v/>
      </c>
      <c r="Q14" s="8" t="n"/>
      <c r="R14" s="8" t="n"/>
      <c r="S14" s="8" t="n"/>
      <c r="T14" s="8" t="n"/>
      <c r="V14" s="37">
        <f>IF(5*Settings!$C$7&gt;=1440,"",MOD(ROUND((Settings!$C$6+5*Settings!$C$7/1440)*1440,0),1440)/1440)</f>
        <v/>
      </c>
      <c r="W14" s="8" t="n"/>
      <c r="X14" s="8" t="n"/>
      <c r="Y14" s="8" t="n"/>
      <c r="Z14" s="8" t="n"/>
      <c r="AB14" s="37">
        <f>IF(5*Settings!$C$7&gt;=1440,"",MOD(ROUND((Settings!$C$6+5*Settings!$C$7/1440)*1440,0),1440)/1440)</f>
        <v/>
      </c>
      <c r="AC14" s="8" t="n"/>
      <c r="AD14" s="8" t="n"/>
      <c r="AE14" s="8" t="n"/>
      <c r="AF14" s="8" t="n"/>
      <c r="AH14" s="37">
        <f>IF(5*Settings!$C$7&gt;=1440,"",MOD(ROUND((Settings!$C$6+5*Settings!$C$7/1440)*1440,0),1440)/1440)</f>
        <v/>
      </c>
      <c r="AI14" s="8" t="n"/>
      <c r="AJ14" s="8" t="n"/>
      <c r="AK14" s="8" t="n"/>
      <c r="AL14" s="8" t="n"/>
      <c r="AN14" s="37">
        <f>IF(5*Settings!$C$7&gt;=1440,"",MOD(ROUND((Settings!$C$6+5*Settings!$C$7/1440)*1440,0),1440)/1440)</f>
        <v/>
      </c>
      <c r="AO14" s="8" t="n"/>
      <c r="AP14" s="8" t="n"/>
      <c r="AQ14" s="8" t="n"/>
      <c r="AR14" s="8" t="n"/>
      <c r="AT14" s="37">
        <f>IF(5*Settings!$C$7&gt;=1440,"",MOD(ROUND((Settings!$C$6+5*Settings!$C$7/1440)*1440,0),1440)/1440)</f>
        <v/>
      </c>
      <c r="AU14" s="8" t="n"/>
      <c r="AV14" s="8" t="n"/>
      <c r="AW14" s="8" t="n"/>
      <c r="AX14" s="8" t="n"/>
      <c r="BA14" s="13">
        <f>IF(Settings!$B$45="","",Settings!$B$45)</f>
        <v/>
      </c>
      <c r="BB14" s="14" t="b">
        <v>0</v>
      </c>
      <c r="BC14" s="14" t="b">
        <v>0</v>
      </c>
      <c r="BD14" s="14" t="b">
        <v>0</v>
      </c>
      <c r="BE14" s="14" t="b">
        <v>0</v>
      </c>
      <c r="BF14" s="14" t="b">
        <v>0</v>
      </c>
      <c r="BG14" s="14" t="b">
        <v>0</v>
      </c>
      <c r="BH14" s="14" t="b">
        <v>0</v>
      </c>
      <c r="BI14" s="34">
        <f>IF($BA14="","",COUNTIF(BB14:BH14,TRUE)/7)</f>
        <v/>
      </c>
      <c r="BJ14" s="36">
        <f>IF(BI14="","",REPT("█",ROUND(BI14*10,0))&amp;REPT("░",10-ROUND(BI14*10,0)))</f>
        <v/>
      </c>
    </row>
    <row r="15">
      <c r="B15" s="14" t="b">
        <v>0</v>
      </c>
      <c r="C15" s="8" t="n"/>
      <c r="D15" s="8" t="n"/>
      <c r="E15" s="8" t="n"/>
      <c r="F15" s="8" t="n"/>
      <c r="G15" s="8" t="n"/>
      <c r="H15" s="8" t="n"/>
      <c r="J15" s="37">
        <f>IF(6*Settings!$C$7&gt;=1440,"",MOD(ROUND((Settings!$C$6+6*Settings!$C$7/1440)*1440,0),1440)/1440)</f>
        <v/>
      </c>
      <c r="K15" s="8" t="n"/>
      <c r="L15" s="8" t="n"/>
      <c r="M15" s="8" t="n"/>
      <c r="N15" s="8" t="n"/>
      <c r="P15" s="37">
        <f>IF(6*Settings!$C$7&gt;=1440,"",MOD(ROUND((Settings!$C$6+6*Settings!$C$7/1440)*1440,0),1440)/1440)</f>
        <v/>
      </c>
      <c r="Q15" s="8" t="n"/>
      <c r="R15" s="8" t="n"/>
      <c r="S15" s="8" t="n"/>
      <c r="T15" s="8" t="n"/>
      <c r="V15" s="37">
        <f>IF(6*Settings!$C$7&gt;=1440,"",MOD(ROUND((Settings!$C$6+6*Settings!$C$7/1440)*1440,0),1440)/1440)</f>
        <v/>
      </c>
      <c r="W15" s="8" t="n"/>
      <c r="X15" s="8" t="n"/>
      <c r="Y15" s="8" t="n"/>
      <c r="Z15" s="8" t="n"/>
      <c r="AB15" s="37">
        <f>IF(6*Settings!$C$7&gt;=1440,"",MOD(ROUND((Settings!$C$6+6*Settings!$C$7/1440)*1440,0),1440)/1440)</f>
        <v/>
      </c>
      <c r="AC15" s="8" t="n"/>
      <c r="AD15" s="8" t="n"/>
      <c r="AE15" s="8" t="n"/>
      <c r="AF15" s="8" t="n"/>
      <c r="AH15" s="37">
        <f>IF(6*Settings!$C$7&gt;=1440,"",MOD(ROUND((Settings!$C$6+6*Settings!$C$7/1440)*1440,0),1440)/1440)</f>
        <v/>
      </c>
      <c r="AI15" s="8" t="n"/>
      <c r="AJ15" s="8" t="n"/>
      <c r="AK15" s="8" t="n"/>
      <c r="AL15" s="8" t="n"/>
      <c r="AN15" s="37">
        <f>IF(6*Settings!$C$7&gt;=1440,"",MOD(ROUND((Settings!$C$6+6*Settings!$C$7/1440)*1440,0),1440)/1440)</f>
        <v/>
      </c>
      <c r="AO15" s="8" t="n"/>
      <c r="AP15" s="8" t="n"/>
      <c r="AQ15" s="8" t="n"/>
      <c r="AR15" s="8" t="n"/>
      <c r="AT15" s="37">
        <f>IF(6*Settings!$C$7&gt;=1440,"",MOD(ROUND((Settings!$C$6+6*Settings!$C$7/1440)*1440,0),1440)/1440)</f>
        <v/>
      </c>
      <c r="AU15" s="8" t="n"/>
      <c r="AV15" s="8" t="n"/>
      <c r="AW15" s="8" t="n"/>
      <c r="AX15" s="8" t="n"/>
      <c r="BA15" s="13">
        <f>IF(Settings!$B$46="","",Settings!$B$46)</f>
        <v/>
      </c>
      <c r="BB15" s="14" t="b">
        <v>0</v>
      </c>
      <c r="BC15" s="14" t="b">
        <v>0</v>
      </c>
      <c r="BD15" s="14" t="b">
        <v>0</v>
      </c>
      <c r="BE15" s="14" t="b">
        <v>0</v>
      </c>
      <c r="BF15" s="14" t="b">
        <v>0</v>
      </c>
      <c r="BG15" s="14" t="b">
        <v>0</v>
      </c>
      <c r="BH15" s="14" t="b">
        <v>0</v>
      </c>
      <c r="BI15" s="34">
        <f>IF($BA15="","",COUNTIF(BB15:BH15,TRUE)/7)</f>
        <v/>
      </c>
      <c r="BJ15" s="36">
        <f>IF(BI15="","",REPT("█",ROUND(BI15*10,0))&amp;REPT("░",10-ROUND(BI15*10,0)))</f>
        <v/>
      </c>
    </row>
    <row r="16">
      <c r="B16" s="14" t="b">
        <v>0</v>
      </c>
      <c r="C16" s="8" t="n"/>
      <c r="D16" s="8" t="n"/>
      <c r="E16" s="8" t="n"/>
      <c r="F16" s="8" t="n"/>
      <c r="G16" s="8" t="n"/>
      <c r="H16" s="8" t="n"/>
      <c r="J16" s="37">
        <f>IF(7*Settings!$C$7&gt;=1440,"",MOD(ROUND((Settings!$C$6+7*Settings!$C$7/1440)*1440,0),1440)/1440)</f>
        <v/>
      </c>
      <c r="K16" s="8" t="n"/>
      <c r="L16" s="8" t="n"/>
      <c r="M16" s="8" t="n"/>
      <c r="N16" s="8" t="n"/>
      <c r="P16" s="37">
        <f>IF(7*Settings!$C$7&gt;=1440,"",MOD(ROUND((Settings!$C$6+7*Settings!$C$7/1440)*1440,0),1440)/1440)</f>
        <v/>
      </c>
      <c r="Q16" s="8" t="n"/>
      <c r="R16" s="8" t="n"/>
      <c r="S16" s="8" t="n"/>
      <c r="T16" s="8" t="n"/>
      <c r="V16" s="37">
        <f>IF(7*Settings!$C$7&gt;=1440,"",MOD(ROUND((Settings!$C$6+7*Settings!$C$7/1440)*1440,0),1440)/1440)</f>
        <v/>
      </c>
      <c r="W16" s="8" t="n"/>
      <c r="X16" s="8" t="n"/>
      <c r="Y16" s="8" t="n"/>
      <c r="Z16" s="8" t="n"/>
      <c r="AB16" s="37">
        <f>IF(7*Settings!$C$7&gt;=1440,"",MOD(ROUND((Settings!$C$6+7*Settings!$C$7/1440)*1440,0),1440)/1440)</f>
        <v/>
      </c>
      <c r="AC16" s="8" t="n"/>
      <c r="AD16" s="8" t="n"/>
      <c r="AE16" s="8" t="n"/>
      <c r="AF16" s="8" t="n"/>
      <c r="AH16" s="37">
        <f>IF(7*Settings!$C$7&gt;=1440,"",MOD(ROUND((Settings!$C$6+7*Settings!$C$7/1440)*1440,0),1440)/1440)</f>
        <v/>
      </c>
      <c r="AI16" s="8" t="n"/>
      <c r="AJ16" s="8" t="n"/>
      <c r="AK16" s="8" t="n"/>
      <c r="AL16" s="8" t="n"/>
      <c r="AN16" s="37">
        <f>IF(7*Settings!$C$7&gt;=1440,"",MOD(ROUND((Settings!$C$6+7*Settings!$C$7/1440)*1440,0),1440)/1440)</f>
        <v/>
      </c>
      <c r="AO16" s="8" t="n"/>
      <c r="AP16" s="8" t="n"/>
      <c r="AQ16" s="8" t="n"/>
      <c r="AR16" s="8" t="n"/>
      <c r="AT16" s="37">
        <f>IF(7*Settings!$C$7&gt;=1440,"",MOD(ROUND((Settings!$C$6+7*Settings!$C$7/1440)*1440,0),1440)/1440)</f>
        <v/>
      </c>
      <c r="AU16" s="8" t="n"/>
      <c r="AV16" s="8" t="n"/>
      <c r="AW16" s="8" t="n"/>
      <c r="AX16" s="8" t="n"/>
      <c r="BA16" s="13">
        <f>IF(Settings!$B$47="","",Settings!$B$47)</f>
        <v/>
      </c>
      <c r="BB16" s="14" t="b">
        <v>0</v>
      </c>
      <c r="BC16" s="14" t="b">
        <v>0</v>
      </c>
      <c r="BD16" s="14" t="b">
        <v>0</v>
      </c>
      <c r="BE16" s="14" t="b">
        <v>0</v>
      </c>
      <c r="BF16" s="14" t="b">
        <v>0</v>
      </c>
      <c r="BG16" s="14" t="b">
        <v>0</v>
      </c>
      <c r="BH16" s="14" t="b">
        <v>0</v>
      </c>
      <c r="BI16" s="34">
        <f>IF($BA16="","",COUNTIF(BB16:BH16,TRUE)/7)</f>
        <v/>
      </c>
      <c r="BJ16" s="36">
        <f>IF(BI16="","",REPT("█",ROUND(BI16*10,0))&amp;REPT("░",10-ROUND(BI16*10,0)))</f>
        <v/>
      </c>
    </row>
    <row r="17">
      <c r="B17" s="14" t="b">
        <v>0</v>
      </c>
      <c r="C17" s="8" t="n"/>
      <c r="D17" s="8" t="n"/>
      <c r="E17" s="8" t="n"/>
      <c r="F17" s="8" t="n"/>
      <c r="G17" s="8" t="n"/>
      <c r="H17" s="8" t="n"/>
      <c r="J17" s="37">
        <f>IF(8*Settings!$C$7&gt;=1440,"",MOD(ROUND((Settings!$C$6+8*Settings!$C$7/1440)*1440,0),1440)/1440)</f>
        <v/>
      </c>
      <c r="K17" s="8" t="n"/>
      <c r="L17" s="8" t="n"/>
      <c r="M17" s="8" t="n"/>
      <c r="N17" s="8" t="n"/>
      <c r="P17" s="37">
        <f>IF(8*Settings!$C$7&gt;=1440,"",MOD(ROUND((Settings!$C$6+8*Settings!$C$7/1440)*1440,0),1440)/1440)</f>
        <v/>
      </c>
      <c r="Q17" s="8" t="n"/>
      <c r="R17" s="8" t="n"/>
      <c r="S17" s="8" t="n"/>
      <c r="T17" s="8" t="n"/>
      <c r="V17" s="37">
        <f>IF(8*Settings!$C$7&gt;=1440,"",MOD(ROUND((Settings!$C$6+8*Settings!$C$7/1440)*1440,0),1440)/1440)</f>
        <v/>
      </c>
      <c r="W17" s="8" t="n"/>
      <c r="X17" s="8" t="n"/>
      <c r="Y17" s="8" t="n"/>
      <c r="Z17" s="8" t="n"/>
      <c r="AB17" s="37">
        <f>IF(8*Settings!$C$7&gt;=1440,"",MOD(ROUND((Settings!$C$6+8*Settings!$C$7/1440)*1440,0),1440)/1440)</f>
        <v/>
      </c>
      <c r="AC17" s="8" t="n"/>
      <c r="AD17" s="8" t="n"/>
      <c r="AE17" s="8" t="n"/>
      <c r="AF17" s="8" t="n"/>
      <c r="AH17" s="37">
        <f>IF(8*Settings!$C$7&gt;=1440,"",MOD(ROUND((Settings!$C$6+8*Settings!$C$7/1440)*1440,0),1440)/1440)</f>
        <v/>
      </c>
      <c r="AI17" s="8" t="n"/>
      <c r="AJ17" s="8" t="n"/>
      <c r="AK17" s="8" t="n"/>
      <c r="AL17" s="8" t="n"/>
      <c r="AN17" s="37">
        <f>IF(8*Settings!$C$7&gt;=1440,"",MOD(ROUND((Settings!$C$6+8*Settings!$C$7/1440)*1440,0),1440)/1440)</f>
        <v/>
      </c>
      <c r="AO17" s="8" t="n"/>
      <c r="AP17" s="8" t="n"/>
      <c r="AQ17" s="8" t="n"/>
      <c r="AR17" s="8" t="n"/>
      <c r="AT17" s="37">
        <f>IF(8*Settings!$C$7&gt;=1440,"",MOD(ROUND((Settings!$C$6+8*Settings!$C$7/1440)*1440,0),1440)/1440)</f>
        <v/>
      </c>
      <c r="AU17" s="8" t="n"/>
      <c r="AV17" s="8" t="n"/>
      <c r="AW17" s="8" t="n"/>
      <c r="AX17" s="8" t="n"/>
      <c r="BA17" s="13">
        <f>IF(Settings!$B$48="","",Settings!$B$48)</f>
        <v/>
      </c>
      <c r="BB17" s="14" t="b">
        <v>0</v>
      </c>
      <c r="BC17" s="14" t="b">
        <v>0</v>
      </c>
      <c r="BD17" s="14" t="b">
        <v>0</v>
      </c>
      <c r="BE17" s="14" t="b">
        <v>0</v>
      </c>
      <c r="BF17" s="14" t="b">
        <v>0</v>
      </c>
      <c r="BG17" s="14" t="b">
        <v>0</v>
      </c>
      <c r="BH17" s="14" t="b">
        <v>0</v>
      </c>
      <c r="BI17" s="34">
        <f>IF($BA17="","",COUNTIF(BB17:BH17,TRUE)/7)</f>
        <v/>
      </c>
      <c r="BJ17" s="36">
        <f>IF(BI17="","",REPT("█",ROUND(BI17*10,0))&amp;REPT("░",10-ROUND(BI17*10,0)))</f>
        <v/>
      </c>
    </row>
    <row r="18">
      <c r="B18" s="14" t="b">
        <v>0</v>
      </c>
      <c r="C18" s="8" t="n"/>
      <c r="D18" s="8" t="n"/>
      <c r="E18" s="8" t="n"/>
      <c r="F18" s="8" t="n"/>
      <c r="G18" s="8" t="n"/>
      <c r="H18" s="8" t="n"/>
      <c r="J18" s="37">
        <f>IF(9*Settings!$C$7&gt;=1440,"",MOD(ROUND((Settings!$C$6+9*Settings!$C$7/1440)*1440,0),1440)/1440)</f>
        <v/>
      </c>
      <c r="K18" s="8" t="n"/>
      <c r="L18" s="8" t="n"/>
      <c r="M18" s="8" t="n"/>
      <c r="N18" s="8" t="n"/>
      <c r="P18" s="37">
        <f>IF(9*Settings!$C$7&gt;=1440,"",MOD(ROUND((Settings!$C$6+9*Settings!$C$7/1440)*1440,0),1440)/1440)</f>
        <v/>
      </c>
      <c r="Q18" s="8" t="n"/>
      <c r="R18" s="8" t="n"/>
      <c r="S18" s="8" t="n"/>
      <c r="T18" s="8" t="n"/>
      <c r="V18" s="37">
        <f>IF(9*Settings!$C$7&gt;=1440,"",MOD(ROUND((Settings!$C$6+9*Settings!$C$7/1440)*1440,0),1440)/1440)</f>
        <v/>
      </c>
      <c r="W18" s="8" t="n"/>
      <c r="X18" s="8" t="n"/>
      <c r="Y18" s="8" t="n"/>
      <c r="Z18" s="8" t="n"/>
      <c r="AB18" s="37">
        <f>IF(9*Settings!$C$7&gt;=1440,"",MOD(ROUND((Settings!$C$6+9*Settings!$C$7/1440)*1440,0),1440)/1440)</f>
        <v/>
      </c>
      <c r="AC18" s="8" t="n"/>
      <c r="AD18" s="8" t="n"/>
      <c r="AE18" s="8" t="n"/>
      <c r="AF18" s="8" t="n"/>
      <c r="AH18" s="37">
        <f>IF(9*Settings!$C$7&gt;=1440,"",MOD(ROUND((Settings!$C$6+9*Settings!$C$7/1440)*1440,0),1440)/1440)</f>
        <v/>
      </c>
      <c r="AI18" s="8" t="n"/>
      <c r="AJ18" s="8" t="n"/>
      <c r="AK18" s="8" t="n"/>
      <c r="AL18" s="8" t="n"/>
      <c r="AN18" s="37">
        <f>IF(9*Settings!$C$7&gt;=1440,"",MOD(ROUND((Settings!$C$6+9*Settings!$C$7/1440)*1440,0),1440)/1440)</f>
        <v/>
      </c>
      <c r="AO18" s="8" t="n"/>
      <c r="AP18" s="8" t="n"/>
      <c r="AQ18" s="8" t="n"/>
      <c r="AR18" s="8" t="n"/>
      <c r="AT18" s="37">
        <f>IF(9*Settings!$C$7&gt;=1440,"",MOD(ROUND((Settings!$C$6+9*Settings!$C$7/1440)*1440,0),1440)/1440)</f>
        <v/>
      </c>
      <c r="AU18" s="8" t="n"/>
      <c r="AV18" s="8" t="n"/>
      <c r="AW18" s="8" t="n"/>
      <c r="AX18" s="8" t="n"/>
      <c r="BA18" s="13">
        <f>IF(Settings!$B$49="","",Settings!$B$49)</f>
        <v/>
      </c>
      <c r="BB18" s="14" t="b">
        <v>0</v>
      </c>
      <c r="BC18" s="14" t="b">
        <v>0</v>
      </c>
      <c r="BD18" s="14" t="b">
        <v>0</v>
      </c>
      <c r="BE18" s="14" t="b">
        <v>0</v>
      </c>
      <c r="BF18" s="14" t="b">
        <v>0</v>
      </c>
      <c r="BG18" s="14" t="b">
        <v>0</v>
      </c>
      <c r="BH18" s="14" t="b">
        <v>0</v>
      </c>
      <c r="BI18" s="34">
        <f>IF($BA18="","",COUNTIF(BB18:BH18,TRUE)/7)</f>
        <v/>
      </c>
      <c r="BJ18" s="36">
        <f>IF(BI18="","",REPT("█",ROUND(BI18*10,0))&amp;REPT("░",10-ROUND(BI18*10,0)))</f>
        <v/>
      </c>
    </row>
    <row r="19">
      <c r="B19" s="14" t="b">
        <v>0</v>
      </c>
      <c r="C19" s="8" t="n"/>
      <c r="D19" s="8" t="n"/>
      <c r="E19" s="8" t="n"/>
      <c r="F19" s="8" t="n"/>
      <c r="G19" s="8" t="n"/>
      <c r="H19" s="8" t="n"/>
      <c r="J19" s="37">
        <f>IF(10*Settings!$C$7&gt;=1440,"",MOD(ROUND((Settings!$C$6+10*Settings!$C$7/1440)*1440,0),1440)/1440)</f>
        <v/>
      </c>
      <c r="K19" s="8" t="n"/>
      <c r="L19" s="8" t="n"/>
      <c r="M19" s="8" t="n"/>
      <c r="N19" s="8" t="n"/>
      <c r="P19" s="37">
        <f>IF(10*Settings!$C$7&gt;=1440,"",MOD(ROUND((Settings!$C$6+10*Settings!$C$7/1440)*1440,0),1440)/1440)</f>
        <v/>
      </c>
      <c r="Q19" s="8" t="n"/>
      <c r="R19" s="8" t="n"/>
      <c r="S19" s="8" t="n"/>
      <c r="T19" s="8" t="n"/>
      <c r="V19" s="37">
        <f>IF(10*Settings!$C$7&gt;=1440,"",MOD(ROUND((Settings!$C$6+10*Settings!$C$7/1440)*1440,0),1440)/1440)</f>
        <v/>
      </c>
      <c r="W19" s="8" t="n"/>
      <c r="X19" s="8" t="n"/>
      <c r="Y19" s="8" t="n"/>
      <c r="Z19" s="8" t="n"/>
      <c r="AB19" s="37">
        <f>IF(10*Settings!$C$7&gt;=1440,"",MOD(ROUND((Settings!$C$6+10*Settings!$C$7/1440)*1440,0),1440)/1440)</f>
        <v/>
      </c>
      <c r="AC19" s="8" t="n"/>
      <c r="AD19" s="8" t="n"/>
      <c r="AE19" s="8" t="n"/>
      <c r="AF19" s="8" t="n"/>
      <c r="AH19" s="37">
        <f>IF(10*Settings!$C$7&gt;=1440,"",MOD(ROUND((Settings!$C$6+10*Settings!$C$7/1440)*1440,0),1440)/1440)</f>
        <v/>
      </c>
      <c r="AI19" s="8" t="n"/>
      <c r="AJ19" s="8" t="n"/>
      <c r="AK19" s="8" t="n"/>
      <c r="AL19" s="8" t="n"/>
      <c r="AN19" s="37">
        <f>IF(10*Settings!$C$7&gt;=1440,"",MOD(ROUND((Settings!$C$6+10*Settings!$C$7/1440)*1440,0),1440)/1440)</f>
        <v/>
      </c>
      <c r="AO19" s="8" t="n"/>
      <c r="AP19" s="8" t="n"/>
      <c r="AQ19" s="8" t="n"/>
      <c r="AR19" s="8" t="n"/>
      <c r="AT19" s="37">
        <f>IF(10*Settings!$C$7&gt;=1440,"",MOD(ROUND((Settings!$C$6+10*Settings!$C$7/1440)*1440,0),1440)/1440)</f>
        <v/>
      </c>
      <c r="AU19" s="8" t="n"/>
      <c r="AV19" s="8" t="n"/>
      <c r="AW19" s="8" t="n"/>
      <c r="AX19" s="8" t="n"/>
      <c r="BA19" s="13">
        <f>IF(Settings!$B$50="","",Settings!$B$50)</f>
        <v/>
      </c>
      <c r="BB19" s="14" t="b">
        <v>0</v>
      </c>
      <c r="BC19" s="14" t="b">
        <v>0</v>
      </c>
      <c r="BD19" s="14" t="b">
        <v>0</v>
      </c>
      <c r="BE19" s="14" t="b">
        <v>0</v>
      </c>
      <c r="BF19" s="14" t="b">
        <v>0</v>
      </c>
      <c r="BG19" s="14" t="b">
        <v>0</v>
      </c>
      <c r="BH19" s="14" t="b">
        <v>0</v>
      </c>
      <c r="BI19" s="34">
        <f>IF($BA19="","",COUNTIF(BB19:BH19,TRUE)/7)</f>
        <v/>
      </c>
      <c r="BJ19" s="36">
        <f>IF(BI19="","",REPT("█",ROUND(BI19*10,0))&amp;REPT("░",10-ROUND(BI19*10,0)))</f>
        <v/>
      </c>
    </row>
    <row r="20">
      <c r="J20" s="37">
        <f>IF(11*Settings!$C$7&gt;=1440,"",MOD(ROUND((Settings!$C$6+11*Settings!$C$7/1440)*1440,0),1440)/1440)</f>
        <v/>
      </c>
      <c r="K20" s="8" t="n"/>
      <c r="L20" s="8" t="n"/>
      <c r="M20" s="8" t="n"/>
      <c r="N20" s="8" t="n"/>
      <c r="P20" s="37">
        <f>IF(11*Settings!$C$7&gt;=1440,"",MOD(ROUND((Settings!$C$6+11*Settings!$C$7/1440)*1440,0),1440)/1440)</f>
        <v/>
      </c>
      <c r="Q20" s="8" t="n"/>
      <c r="R20" s="8" t="n"/>
      <c r="S20" s="8" t="n"/>
      <c r="T20" s="8" t="n"/>
      <c r="V20" s="37">
        <f>IF(11*Settings!$C$7&gt;=1440,"",MOD(ROUND((Settings!$C$6+11*Settings!$C$7/1440)*1440,0),1440)/1440)</f>
        <v/>
      </c>
      <c r="W20" s="8" t="n"/>
      <c r="X20" s="8" t="n"/>
      <c r="Y20" s="8" t="n"/>
      <c r="Z20" s="8" t="n"/>
      <c r="AB20" s="37">
        <f>IF(11*Settings!$C$7&gt;=1440,"",MOD(ROUND((Settings!$C$6+11*Settings!$C$7/1440)*1440,0),1440)/1440)</f>
        <v/>
      </c>
      <c r="AC20" s="8" t="n"/>
      <c r="AD20" s="8" t="n"/>
      <c r="AE20" s="8" t="n"/>
      <c r="AF20" s="8" t="n"/>
      <c r="AH20" s="37">
        <f>IF(11*Settings!$C$7&gt;=1440,"",MOD(ROUND((Settings!$C$6+11*Settings!$C$7/1440)*1440,0),1440)/1440)</f>
        <v/>
      </c>
      <c r="AI20" s="8" t="n"/>
      <c r="AJ20" s="8" t="n"/>
      <c r="AK20" s="8" t="n"/>
      <c r="AL20" s="8" t="n"/>
      <c r="AN20" s="37">
        <f>IF(11*Settings!$C$7&gt;=1440,"",MOD(ROUND((Settings!$C$6+11*Settings!$C$7/1440)*1440,0),1440)/1440)</f>
        <v/>
      </c>
      <c r="AO20" s="8" t="n"/>
      <c r="AP20" s="8" t="n"/>
      <c r="AQ20" s="8" t="n"/>
      <c r="AR20" s="8" t="n"/>
      <c r="AT20" s="37">
        <f>IF(11*Settings!$C$7&gt;=1440,"",MOD(ROUND((Settings!$C$6+11*Settings!$C$7/1440)*1440,0),1440)/1440)</f>
        <v/>
      </c>
      <c r="AU20" s="8" t="n"/>
      <c r="AV20" s="8" t="n"/>
      <c r="AW20" s="8" t="n"/>
      <c r="AX20" s="8" t="n"/>
      <c r="BA20" s="13">
        <f>IF(Settings!$B$51="","",Settings!$B$51)</f>
        <v/>
      </c>
      <c r="BB20" s="14" t="b">
        <v>0</v>
      </c>
      <c r="BC20" s="14" t="b">
        <v>0</v>
      </c>
      <c r="BD20" s="14" t="b">
        <v>0</v>
      </c>
      <c r="BE20" s="14" t="b">
        <v>0</v>
      </c>
      <c r="BF20" s="14" t="b">
        <v>0</v>
      </c>
      <c r="BG20" s="14" t="b">
        <v>0</v>
      </c>
      <c r="BH20" s="14" t="b">
        <v>0</v>
      </c>
      <c r="BI20" s="34">
        <f>IF($BA20="","",COUNTIF(BB20:BH20,TRUE)/7)</f>
        <v/>
      </c>
      <c r="BJ20" s="36">
        <f>IF(BI20="","",REPT("█",ROUND(BI20*10,0))&amp;REPT("░",10-ROUND(BI20*10,0)))</f>
        <v/>
      </c>
    </row>
    <row r="21">
      <c r="J21" s="37">
        <f>IF(12*Settings!$C$7&gt;=1440,"",MOD(ROUND((Settings!$C$6+12*Settings!$C$7/1440)*1440,0),1440)/1440)</f>
        <v/>
      </c>
      <c r="K21" s="8" t="n"/>
      <c r="L21" s="8" t="n"/>
      <c r="M21" s="8" t="n"/>
      <c r="N21" s="8" t="n"/>
      <c r="P21" s="37">
        <f>IF(12*Settings!$C$7&gt;=1440,"",MOD(ROUND((Settings!$C$6+12*Settings!$C$7/1440)*1440,0),1440)/1440)</f>
        <v/>
      </c>
      <c r="Q21" s="8" t="n"/>
      <c r="R21" s="8" t="n"/>
      <c r="S21" s="8" t="n"/>
      <c r="T21" s="8" t="n"/>
      <c r="V21" s="37">
        <f>IF(12*Settings!$C$7&gt;=1440,"",MOD(ROUND((Settings!$C$6+12*Settings!$C$7/1440)*1440,0),1440)/1440)</f>
        <v/>
      </c>
      <c r="W21" s="8" t="n"/>
      <c r="X21" s="8" t="n"/>
      <c r="Y21" s="8" t="n"/>
      <c r="Z21" s="8" t="n"/>
      <c r="AB21" s="37">
        <f>IF(12*Settings!$C$7&gt;=1440,"",MOD(ROUND((Settings!$C$6+12*Settings!$C$7/1440)*1440,0),1440)/1440)</f>
        <v/>
      </c>
      <c r="AC21" s="8" t="n"/>
      <c r="AD21" s="8" t="n"/>
      <c r="AE21" s="8" t="n"/>
      <c r="AF21" s="8" t="n"/>
      <c r="AH21" s="37">
        <f>IF(12*Settings!$C$7&gt;=1440,"",MOD(ROUND((Settings!$C$6+12*Settings!$C$7/1440)*1440,0),1440)/1440)</f>
        <v/>
      </c>
      <c r="AI21" s="8" t="n"/>
      <c r="AJ21" s="8" t="n"/>
      <c r="AK21" s="8" t="n"/>
      <c r="AL21" s="8" t="n"/>
      <c r="AN21" s="37">
        <f>IF(12*Settings!$C$7&gt;=1440,"",MOD(ROUND((Settings!$C$6+12*Settings!$C$7/1440)*1440,0),1440)/1440)</f>
        <v/>
      </c>
      <c r="AO21" s="8" t="n"/>
      <c r="AP21" s="8" t="n"/>
      <c r="AQ21" s="8" t="n"/>
      <c r="AR21" s="8" t="n"/>
      <c r="AT21" s="37">
        <f>IF(12*Settings!$C$7&gt;=1440,"",MOD(ROUND((Settings!$C$6+12*Settings!$C$7/1440)*1440,0),1440)/1440)</f>
        <v/>
      </c>
      <c r="AU21" s="8" t="n"/>
      <c r="AV21" s="8" t="n"/>
      <c r="AW21" s="8" t="n"/>
      <c r="AX21" s="8" t="n"/>
      <c r="BA21" s="13">
        <f>IF(Settings!$B$52="","",Settings!$B$52)</f>
        <v/>
      </c>
      <c r="BB21" s="14" t="b">
        <v>0</v>
      </c>
      <c r="BC21" s="14" t="b">
        <v>0</v>
      </c>
      <c r="BD21" s="14" t="b">
        <v>0</v>
      </c>
      <c r="BE21" s="14" t="b">
        <v>0</v>
      </c>
      <c r="BF21" s="14" t="b">
        <v>0</v>
      </c>
      <c r="BG21" s="14" t="b">
        <v>0</v>
      </c>
      <c r="BH21" s="14" t="b">
        <v>0</v>
      </c>
      <c r="BI21" s="34">
        <f>IF($BA21="","",COUNTIF(BB21:BH21,TRUE)/7)</f>
        <v/>
      </c>
      <c r="BJ21" s="36">
        <f>IF(BI21="","",REPT("█",ROUND(BI21*10,0))&amp;REPT("░",10-ROUND(BI21*10,0)))</f>
        <v/>
      </c>
    </row>
    <row r="22">
      <c r="B22" s="6">
        <f>IF(Settings!$C$103="",Settings!$B$103,Settings!$C$103)</f>
        <v/>
      </c>
      <c r="C22" s="6" t="n"/>
      <c r="D22" s="6" t="n"/>
      <c r="E22" s="6" t="n"/>
      <c r="F22" s="6" t="n"/>
      <c r="G22" s="6" t="n"/>
      <c r="H22" s="21">
        <f>IFERROR(SUMPRODUCT((C23:C27&lt;&gt;"")*(B23:B27=TRUE))/SUMPRODUCT((C23:C27&lt;&gt;"")*1),0)</f>
        <v/>
      </c>
      <c r="J22" s="37">
        <f>IF(13*Settings!$C$7&gt;=1440,"",MOD(ROUND((Settings!$C$6+13*Settings!$C$7/1440)*1440,0),1440)/1440)</f>
        <v/>
      </c>
      <c r="K22" s="8" t="n"/>
      <c r="L22" s="8" t="n"/>
      <c r="M22" s="8" t="n"/>
      <c r="N22" s="8" t="n"/>
      <c r="P22" s="37">
        <f>IF(13*Settings!$C$7&gt;=1440,"",MOD(ROUND((Settings!$C$6+13*Settings!$C$7/1440)*1440,0),1440)/1440)</f>
        <v/>
      </c>
      <c r="Q22" s="8" t="n"/>
      <c r="R22" s="8" t="n"/>
      <c r="S22" s="8" t="n"/>
      <c r="T22" s="8" t="n"/>
      <c r="V22" s="37">
        <f>IF(13*Settings!$C$7&gt;=1440,"",MOD(ROUND((Settings!$C$6+13*Settings!$C$7/1440)*1440,0),1440)/1440)</f>
        <v/>
      </c>
      <c r="W22" s="8" t="n"/>
      <c r="X22" s="8" t="n"/>
      <c r="Y22" s="8" t="n"/>
      <c r="Z22" s="8" t="n"/>
      <c r="AB22" s="37">
        <f>IF(13*Settings!$C$7&gt;=1440,"",MOD(ROUND((Settings!$C$6+13*Settings!$C$7/1440)*1440,0),1440)/1440)</f>
        <v/>
      </c>
      <c r="AC22" s="8" t="n"/>
      <c r="AD22" s="8" t="n"/>
      <c r="AE22" s="8" t="n"/>
      <c r="AF22" s="8" t="n"/>
      <c r="AH22" s="37">
        <f>IF(13*Settings!$C$7&gt;=1440,"",MOD(ROUND((Settings!$C$6+13*Settings!$C$7/1440)*1440,0),1440)/1440)</f>
        <v/>
      </c>
      <c r="AI22" s="8" t="n"/>
      <c r="AJ22" s="8" t="n"/>
      <c r="AK22" s="8" t="n"/>
      <c r="AL22" s="8" t="n"/>
      <c r="AN22" s="37">
        <f>IF(13*Settings!$C$7&gt;=1440,"",MOD(ROUND((Settings!$C$6+13*Settings!$C$7/1440)*1440,0),1440)/1440)</f>
        <v/>
      </c>
      <c r="AO22" s="8" t="n"/>
      <c r="AP22" s="8" t="n"/>
      <c r="AQ22" s="8" t="n"/>
      <c r="AR22" s="8" t="n"/>
      <c r="AT22" s="37">
        <f>IF(13*Settings!$C$7&gt;=1440,"",MOD(ROUND((Settings!$C$6+13*Settings!$C$7/1440)*1440,0),1440)/1440)</f>
        <v/>
      </c>
      <c r="AU22" s="8" t="n"/>
      <c r="AV22" s="8" t="n"/>
      <c r="AW22" s="8" t="n"/>
      <c r="AX22" s="8" t="n"/>
      <c r="BA22" s="13">
        <f>IF(Settings!$B$53="","",Settings!$B$53)</f>
        <v/>
      </c>
      <c r="BB22" s="14" t="b">
        <v>0</v>
      </c>
      <c r="BC22" s="14" t="b">
        <v>0</v>
      </c>
      <c r="BD22" s="14" t="b">
        <v>0</v>
      </c>
      <c r="BE22" s="14" t="b">
        <v>0</v>
      </c>
      <c r="BF22" s="14" t="b">
        <v>0</v>
      </c>
      <c r="BG22" s="14" t="b">
        <v>0</v>
      </c>
      <c r="BH22" s="14" t="b">
        <v>0</v>
      </c>
      <c r="BI22" s="34">
        <f>IF($BA22="","",COUNTIF(BB22:BH22,TRUE)/7)</f>
        <v/>
      </c>
      <c r="BJ22" s="36">
        <f>IF(BI22="","",REPT("█",ROUND(BI22*10,0))&amp;REPT("░",10-ROUND(BI22*10,0)))</f>
        <v/>
      </c>
    </row>
    <row r="23">
      <c r="B23" s="14" t="b">
        <v>0</v>
      </c>
      <c r="C23" s="8" t="n"/>
      <c r="D23" s="8" t="n"/>
      <c r="E23" s="8" t="n"/>
      <c r="F23" s="8" t="n"/>
      <c r="G23" s="8" t="n"/>
      <c r="H23" s="8" t="n"/>
      <c r="J23" s="37">
        <f>IF(14*Settings!$C$7&gt;=1440,"",MOD(ROUND((Settings!$C$6+14*Settings!$C$7/1440)*1440,0),1440)/1440)</f>
        <v/>
      </c>
      <c r="K23" s="8" t="n"/>
      <c r="L23" s="8" t="n"/>
      <c r="M23" s="8" t="n"/>
      <c r="N23" s="8" t="n"/>
      <c r="P23" s="37">
        <f>IF(14*Settings!$C$7&gt;=1440,"",MOD(ROUND((Settings!$C$6+14*Settings!$C$7/1440)*1440,0),1440)/1440)</f>
        <v/>
      </c>
      <c r="Q23" s="8" t="n"/>
      <c r="R23" s="8" t="n"/>
      <c r="S23" s="8" t="n"/>
      <c r="T23" s="8" t="n"/>
      <c r="V23" s="37">
        <f>IF(14*Settings!$C$7&gt;=1440,"",MOD(ROUND((Settings!$C$6+14*Settings!$C$7/1440)*1440,0),1440)/1440)</f>
        <v/>
      </c>
      <c r="W23" s="8" t="n"/>
      <c r="X23" s="8" t="n"/>
      <c r="Y23" s="8" t="n"/>
      <c r="Z23" s="8" t="n"/>
      <c r="AB23" s="37">
        <f>IF(14*Settings!$C$7&gt;=1440,"",MOD(ROUND((Settings!$C$6+14*Settings!$C$7/1440)*1440,0),1440)/1440)</f>
        <v/>
      </c>
      <c r="AC23" s="8" t="n"/>
      <c r="AD23" s="8" t="n"/>
      <c r="AE23" s="8" t="n"/>
      <c r="AF23" s="8" t="n"/>
      <c r="AH23" s="37">
        <f>IF(14*Settings!$C$7&gt;=1440,"",MOD(ROUND((Settings!$C$6+14*Settings!$C$7/1440)*1440,0),1440)/1440)</f>
        <v/>
      </c>
      <c r="AI23" s="8" t="n"/>
      <c r="AJ23" s="8" t="n"/>
      <c r="AK23" s="8" t="n"/>
      <c r="AL23" s="8" t="n"/>
      <c r="AN23" s="37">
        <f>IF(14*Settings!$C$7&gt;=1440,"",MOD(ROUND((Settings!$C$6+14*Settings!$C$7/1440)*1440,0),1440)/1440)</f>
        <v/>
      </c>
      <c r="AO23" s="8" t="n"/>
      <c r="AP23" s="8" t="n"/>
      <c r="AQ23" s="8" t="n"/>
      <c r="AR23" s="8" t="n"/>
      <c r="AT23" s="37">
        <f>IF(14*Settings!$C$7&gt;=1440,"",MOD(ROUND((Settings!$C$6+14*Settings!$C$7/1440)*1440,0),1440)/1440)</f>
        <v/>
      </c>
      <c r="AU23" s="8" t="n"/>
      <c r="AV23" s="8" t="n"/>
      <c r="AW23" s="8" t="n"/>
      <c r="AX23" s="8" t="n"/>
      <c r="BA23" s="13">
        <f>IF(Settings!$B$54="","",Settings!$B$54)</f>
        <v/>
      </c>
      <c r="BB23" s="14" t="b">
        <v>0</v>
      </c>
      <c r="BC23" s="14" t="b">
        <v>0</v>
      </c>
      <c r="BD23" s="14" t="b">
        <v>0</v>
      </c>
      <c r="BE23" s="14" t="b">
        <v>0</v>
      </c>
      <c r="BF23" s="14" t="b">
        <v>0</v>
      </c>
      <c r="BG23" s="14" t="b">
        <v>0</v>
      </c>
      <c r="BH23" s="14" t="b">
        <v>0</v>
      </c>
      <c r="BI23" s="34">
        <f>IF($BA23="","",COUNTIF(BB23:BH23,TRUE)/7)</f>
        <v/>
      </c>
      <c r="BJ23" s="36">
        <f>IF(BI23="","",REPT("█",ROUND(BI23*10,0))&amp;REPT("░",10-ROUND(BI23*10,0)))</f>
        <v/>
      </c>
    </row>
    <row r="24">
      <c r="B24" s="14" t="b">
        <v>0</v>
      </c>
      <c r="C24" s="8" t="n"/>
      <c r="D24" s="8" t="n"/>
      <c r="E24" s="8" t="n"/>
      <c r="F24" s="8" t="n"/>
      <c r="G24" s="8" t="n"/>
      <c r="H24" s="8" t="n"/>
      <c r="J24" s="37">
        <f>IF(15*Settings!$C$7&gt;=1440,"",MOD(ROUND((Settings!$C$6+15*Settings!$C$7/1440)*1440,0),1440)/1440)</f>
        <v/>
      </c>
      <c r="K24" s="8" t="n"/>
      <c r="L24" s="8" t="n"/>
      <c r="M24" s="8" t="n"/>
      <c r="N24" s="8" t="n"/>
      <c r="P24" s="37">
        <f>IF(15*Settings!$C$7&gt;=1440,"",MOD(ROUND((Settings!$C$6+15*Settings!$C$7/1440)*1440,0),1440)/1440)</f>
        <v/>
      </c>
      <c r="Q24" s="8" t="n"/>
      <c r="R24" s="8" t="n"/>
      <c r="S24" s="8" t="n"/>
      <c r="T24" s="8" t="n"/>
      <c r="V24" s="37">
        <f>IF(15*Settings!$C$7&gt;=1440,"",MOD(ROUND((Settings!$C$6+15*Settings!$C$7/1440)*1440,0),1440)/1440)</f>
        <v/>
      </c>
      <c r="W24" s="8" t="n"/>
      <c r="X24" s="8" t="n"/>
      <c r="Y24" s="8" t="n"/>
      <c r="Z24" s="8" t="n"/>
      <c r="AB24" s="37">
        <f>IF(15*Settings!$C$7&gt;=1440,"",MOD(ROUND((Settings!$C$6+15*Settings!$C$7/1440)*1440,0),1440)/1440)</f>
        <v/>
      </c>
      <c r="AC24" s="8" t="n"/>
      <c r="AD24" s="8" t="n"/>
      <c r="AE24" s="8" t="n"/>
      <c r="AF24" s="8" t="n"/>
      <c r="AH24" s="37">
        <f>IF(15*Settings!$C$7&gt;=1440,"",MOD(ROUND((Settings!$C$6+15*Settings!$C$7/1440)*1440,0),1440)/1440)</f>
        <v/>
      </c>
      <c r="AI24" s="8" t="n"/>
      <c r="AJ24" s="8" t="n"/>
      <c r="AK24" s="8" t="n"/>
      <c r="AL24" s="8" t="n"/>
      <c r="AN24" s="37">
        <f>IF(15*Settings!$C$7&gt;=1440,"",MOD(ROUND((Settings!$C$6+15*Settings!$C$7/1440)*1440,0),1440)/1440)</f>
        <v/>
      </c>
      <c r="AO24" s="8" t="n"/>
      <c r="AP24" s="8" t="n"/>
      <c r="AQ24" s="8" t="n"/>
      <c r="AR24" s="8" t="n"/>
      <c r="AT24" s="37">
        <f>IF(15*Settings!$C$7&gt;=1440,"",MOD(ROUND((Settings!$C$6+15*Settings!$C$7/1440)*1440,0),1440)/1440)</f>
        <v/>
      </c>
      <c r="AU24" s="8" t="n"/>
      <c r="AV24" s="8" t="n"/>
      <c r="AW24" s="8" t="n"/>
      <c r="AX24" s="8" t="n"/>
      <c r="BA24" s="13">
        <f>IF(Settings!$B$55="","",Settings!$B$55)</f>
        <v/>
      </c>
      <c r="BB24" s="14" t="b">
        <v>0</v>
      </c>
      <c r="BC24" s="14" t="b">
        <v>0</v>
      </c>
      <c r="BD24" s="14" t="b">
        <v>0</v>
      </c>
      <c r="BE24" s="14" t="b">
        <v>0</v>
      </c>
      <c r="BF24" s="14" t="b">
        <v>0</v>
      </c>
      <c r="BG24" s="14" t="b">
        <v>0</v>
      </c>
      <c r="BH24" s="14" t="b">
        <v>0</v>
      </c>
      <c r="BI24" s="34">
        <f>IF($BA24="","",COUNTIF(BB24:BH24,TRUE)/7)</f>
        <v/>
      </c>
      <c r="BJ24" s="36">
        <f>IF(BI24="","",REPT("█",ROUND(BI24*10,0))&amp;REPT("░",10-ROUND(BI24*10,0)))</f>
        <v/>
      </c>
    </row>
    <row r="25">
      <c r="B25" s="14" t="b">
        <v>0</v>
      </c>
      <c r="C25" s="8" t="n"/>
      <c r="D25" s="8" t="n"/>
      <c r="E25" s="8" t="n"/>
      <c r="F25" s="8" t="n"/>
      <c r="G25" s="8" t="n"/>
      <c r="H25" s="8" t="n"/>
      <c r="J25" s="37">
        <f>IF(16*Settings!$C$7&gt;=1440,"",MOD(ROUND((Settings!$C$6+16*Settings!$C$7/1440)*1440,0),1440)/1440)</f>
        <v/>
      </c>
      <c r="K25" s="8" t="n"/>
      <c r="L25" s="8" t="n"/>
      <c r="M25" s="8" t="n"/>
      <c r="N25" s="8" t="n"/>
      <c r="P25" s="37">
        <f>IF(16*Settings!$C$7&gt;=1440,"",MOD(ROUND((Settings!$C$6+16*Settings!$C$7/1440)*1440,0),1440)/1440)</f>
        <v/>
      </c>
      <c r="Q25" s="8" t="n"/>
      <c r="R25" s="8" t="n"/>
      <c r="S25" s="8" t="n"/>
      <c r="T25" s="8" t="n"/>
      <c r="V25" s="37">
        <f>IF(16*Settings!$C$7&gt;=1440,"",MOD(ROUND((Settings!$C$6+16*Settings!$C$7/1440)*1440,0),1440)/1440)</f>
        <v/>
      </c>
      <c r="W25" s="8" t="n"/>
      <c r="X25" s="8" t="n"/>
      <c r="Y25" s="8" t="n"/>
      <c r="Z25" s="8" t="n"/>
      <c r="AB25" s="37">
        <f>IF(16*Settings!$C$7&gt;=1440,"",MOD(ROUND((Settings!$C$6+16*Settings!$C$7/1440)*1440,0),1440)/1440)</f>
        <v/>
      </c>
      <c r="AC25" s="8" t="n"/>
      <c r="AD25" s="8" t="n"/>
      <c r="AE25" s="8" t="n"/>
      <c r="AF25" s="8" t="n"/>
      <c r="AH25" s="37">
        <f>IF(16*Settings!$C$7&gt;=1440,"",MOD(ROUND((Settings!$C$6+16*Settings!$C$7/1440)*1440,0),1440)/1440)</f>
        <v/>
      </c>
      <c r="AI25" s="8" t="n"/>
      <c r="AJ25" s="8" t="n"/>
      <c r="AK25" s="8" t="n"/>
      <c r="AL25" s="8" t="n"/>
      <c r="AN25" s="37">
        <f>IF(16*Settings!$C$7&gt;=1440,"",MOD(ROUND((Settings!$C$6+16*Settings!$C$7/1440)*1440,0),1440)/1440)</f>
        <v/>
      </c>
      <c r="AO25" s="8" t="n"/>
      <c r="AP25" s="8" t="n"/>
      <c r="AQ25" s="8" t="n"/>
      <c r="AR25" s="8" t="n"/>
      <c r="AT25" s="37">
        <f>IF(16*Settings!$C$7&gt;=1440,"",MOD(ROUND((Settings!$C$6+16*Settings!$C$7/1440)*1440,0),1440)/1440)</f>
        <v/>
      </c>
      <c r="AU25" s="8" t="n"/>
      <c r="AV25" s="8" t="n"/>
      <c r="AW25" s="8" t="n"/>
      <c r="AX25" s="8" t="n"/>
      <c r="BA25" s="13">
        <f>IF(Settings!$B$56="","",Settings!$B$56)</f>
        <v/>
      </c>
      <c r="BB25" s="14" t="b">
        <v>0</v>
      </c>
      <c r="BC25" s="14" t="b">
        <v>0</v>
      </c>
      <c r="BD25" s="14" t="b">
        <v>0</v>
      </c>
      <c r="BE25" s="14" t="b">
        <v>0</v>
      </c>
      <c r="BF25" s="14" t="b">
        <v>0</v>
      </c>
      <c r="BG25" s="14" t="b">
        <v>0</v>
      </c>
      <c r="BH25" s="14" t="b">
        <v>0</v>
      </c>
      <c r="BI25" s="34">
        <f>IF($BA25="","",COUNTIF(BB25:BH25,TRUE)/7)</f>
        <v/>
      </c>
      <c r="BJ25" s="36">
        <f>IF(BI25="","",REPT("█",ROUND(BI25*10,0))&amp;REPT("░",10-ROUND(BI25*10,0)))</f>
        <v/>
      </c>
    </row>
    <row r="26">
      <c r="B26" s="14" t="b">
        <v>0</v>
      </c>
      <c r="C26" s="8" t="n"/>
      <c r="D26" s="8" t="n"/>
      <c r="E26" s="8" t="n"/>
      <c r="F26" s="8" t="n"/>
      <c r="G26" s="8" t="n"/>
      <c r="H26" s="8" t="n"/>
      <c r="J26" s="37">
        <f>IF(17*Settings!$C$7&gt;=1440,"",MOD(ROUND((Settings!$C$6+17*Settings!$C$7/1440)*1440,0),1440)/1440)</f>
        <v/>
      </c>
      <c r="K26" s="8" t="n"/>
      <c r="L26" s="8" t="n"/>
      <c r="M26" s="8" t="n"/>
      <c r="N26" s="8" t="n"/>
      <c r="P26" s="37">
        <f>IF(17*Settings!$C$7&gt;=1440,"",MOD(ROUND((Settings!$C$6+17*Settings!$C$7/1440)*1440,0),1440)/1440)</f>
        <v/>
      </c>
      <c r="Q26" s="8" t="n"/>
      <c r="R26" s="8" t="n"/>
      <c r="S26" s="8" t="n"/>
      <c r="T26" s="8" t="n"/>
      <c r="V26" s="37">
        <f>IF(17*Settings!$C$7&gt;=1440,"",MOD(ROUND((Settings!$C$6+17*Settings!$C$7/1440)*1440,0),1440)/1440)</f>
        <v/>
      </c>
      <c r="W26" s="8" t="n"/>
      <c r="X26" s="8" t="n"/>
      <c r="Y26" s="8" t="n"/>
      <c r="Z26" s="8" t="n"/>
      <c r="AB26" s="37">
        <f>IF(17*Settings!$C$7&gt;=1440,"",MOD(ROUND((Settings!$C$6+17*Settings!$C$7/1440)*1440,0),1440)/1440)</f>
        <v/>
      </c>
      <c r="AC26" s="8" t="n"/>
      <c r="AD26" s="8" t="n"/>
      <c r="AE26" s="8" t="n"/>
      <c r="AF26" s="8" t="n"/>
      <c r="AH26" s="37">
        <f>IF(17*Settings!$C$7&gt;=1440,"",MOD(ROUND((Settings!$C$6+17*Settings!$C$7/1440)*1440,0),1440)/1440)</f>
        <v/>
      </c>
      <c r="AI26" s="8" t="n"/>
      <c r="AJ26" s="8" t="n"/>
      <c r="AK26" s="8" t="n"/>
      <c r="AL26" s="8" t="n"/>
      <c r="AN26" s="37">
        <f>IF(17*Settings!$C$7&gt;=1440,"",MOD(ROUND((Settings!$C$6+17*Settings!$C$7/1440)*1440,0),1440)/1440)</f>
        <v/>
      </c>
      <c r="AO26" s="8" t="n"/>
      <c r="AP26" s="8" t="n"/>
      <c r="AQ26" s="8" t="n"/>
      <c r="AR26" s="8" t="n"/>
      <c r="AT26" s="37">
        <f>IF(17*Settings!$C$7&gt;=1440,"",MOD(ROUND((Settings!$C$6+17*Settings!$C$7/1440)*1440,0),1440)/1440)</f>
        <v/>
      </c>
      <c r="AU26" s="8" t="n"/>
      <c r="AV26" s="8" t="n"/>
      <c r="AW26" s="8" t="n"/>
      <c r="AX26" s="8" t="n"/>
      <c r="BA26" s="13">
        <f>IF(Settings!$B$57="","",Settings!$B$57)</f>
        <v/>
      </c>
      <c r="BB26" s="14" t="b">
        <v>0</v>
      </c>
      <c r="BC26" s="14" t="b">
        <v>0</v>
      </c>
      <c r="BD26" s="14" t="b">
        <v>0</v>
      </c>
      <c r="BE26" s="14" t="b">
        <v>0</v>
      </c>
      <c r="BF26" s="14" t="b">
        <v>0</v>
      </c>
      <c r="BG26" s="14" t="b">
        <v>0</v>
      </c>
      <c r="BH26" s="14" t="b">
        <v>0</v>
      </c>
      <c r="BI26" s="34">
        <f>IF($BA26="","",COUNTIF(BB26:BH26,TRUE)/7)</f>
        <v/>
      </c>
      <c r="BJ26" s="36">
        <f>IF(BI26="","",REPT("█",ROUND(BI26*10,0))&amp;REPT("░",10-ROUND(BI26*10,0)))</f>
        <v/>
      </c>
    </row>
    <row r="27">
      <c r="B27" s="14" t="b">
        <v>0</v>
      </c>
      <c r="C27" s="8" t="n"/>
      <c r="D27" s="8" t="n"/>
      <c r="E27" s="8" t="n"/>
      <c r="F27" s="8" t="n"/>
      <c r="G27" s="8" t="n"/>
      <c r="H27" s="8" t="n"/>
      <c r="J27" s="37">
        <f>IF(18*Settings!$C$7&gt;=1440,"",MOD(ROUND((Settings!$C$6+18*Settings!$C$7/1440)*1440,0),1440)/1440)</f>
        <v/>
      </c>
      <c r="K27" s="8" t="n"/>
      <c r="L27" s="8" t="n"/>
      <c r="M27" s="8" t="n"/>
      <c r="N27" s="8" t="n"/>
      <c r="P27" s="37">
        <f>IF(18*Settings!$C$7&gt;=1440,"",MOD(ROUND((Settings!$C$6+18*Settings!$C$7/1440)*1440,0),1440)/1440)</f>
        <v/>
      </c>
      <c r="Q27" s="8" t="n"/>
      <c r="R27" s="8" t="n"/>
      <c r="S27" s="8" t="n"/>
      <c r="T27" s="8" t="n"/>
      <c r="V27" s="37">
        <f>IF(18*Settings!$C$7&gt;=1440,"",MOD(ROUND((Settings!$C$6+18*Settings!$C$7/1440)*1440,0),1440)/1440)</f>
        <v/>
      </c>
      <c r="W27" s="8" t="n"/>
      <c r="X27" s="8" t="n"/>
      <c r="Y27" s="8" t="n"/>
      <c r="Z27" s="8" t="n"/>
      <c r="AB27" s="37">
        <f>IF(18*Settings!$C$7&gt;=1440,"",MOD(ROUND((Settings!$C$6+18*Settings!$C$7/1440)*1440,0),1440)/1440)</f>
        <v/>
      </c>
      <c r="AC27" s="8" t="n"/>
      <c r="AD27" s="8" t="n"/>
      <c r="AE27" s="8" t="n"/>
      <c r="AF27" s="8" t="n"/>
      <c r="AH27" s="37">
        <f>IF(18*Settings!$C$7&gt;=1440,"",MOD(ROUND((Settings!$C$6+18*Settings!$C$7/1440)*1440,0),1440)/1440)</f>
        <v/>
      </c>
      <c r="AI27" s="8" t="n"/>
      <c r="AJ27" s="8" t="n"/>
      <c r="AK27" s="8" t="n"/>
      <c r="AL27" s="8" t="n"/>
      <c r="AN27" s="37">
        <f>IF(18*Settings!$C$7&gt;=1440,"",MOD(ROUND((Settings!$C$6+18*Settings!$C$7/1440)*1440,0),1440)/1440)</f>
        <v/>
      </c>
      <c r="AO27" s="8" t="n"/>
      <c r="AP27" s="8" t="n"/>
      <c r="AQ27" s="8" t="n"/>
      <c r="AR27" s="8" t="n"/>
      <c r="AT27" s="37">
        <f>IF(18*Settings!$C$7&gt;=1440,"",MOD(ROUND((Settings!$C$6+18*Settings!$C$7/1440)*1440,0),1440)/1440)</f>
        <v/>
      </c>
      <c r="AU27" s="8" t="n"/>
      <c r="AV27" s="8" t="n"/>
      <c r="AW27" s="8" t="n"/>
      <c r="AX27" s="8" t="n"/>
      <c r="BA27" s="38" t="inlineStr">
        <is>
          <t>Daily completion</t>
        </is>
      </c>
      <c r="BB27" s="34">
        <f>IFERROR(SUMPRODUCT(($BA$6:$BA$26&lt;&gt;"")*(BB$6:BB$26=TRUE))/SUMPRODUCT(($BA$6:$BA$26&lt;&gt;"")*1),0)</f>
        <v/>
      </c>
      <c r="BC27" s="34">
        <f>IFERROR(SUMPRODUCT(($BA$6:$BA$26&lt;&gt;"")*(BC$6:BC$26=TRUE))/SUMPRODUCT(($BA$6:$BA$26&lt;&gt;"")*1),0)</f>
        <v/>
      </c>
      <c r="BD27" s="34">
        <f>IFERROR(SUMPRODUCT(($BA$6:$BA$26&lt;&gt;"")*(BD$6:BD$26=TRUE))/SUMPRODUCT(($BA$6:$BA$26&lt;&gt;"")*1),0)</f>
        <v/>
      </c>
      <c r="BE27" s="34">
        <f>IFERROR(SUMPRODUCT(($BA$6:$BA$26&lt;&gt;"")*(BE$6:BE$26=TRUE))/SUMPRODUCT(($BA$6:$BA$26&lt;&gt;"")*1),0)</f>
        <v/>
      </c>
      <c r="BF27" s="34">
        <f>IFERROR(SUMPRODUCT(($BA$6:$BA$26&lt;&gt;"")*(BF$6:BF$26=TRUE))/SUMPRODUCT(($BA$6:$BA$26&lt;&gt;"")*1),0)</f>
        <v/>
      </c>
      <c r="BG27" s="34">
        <f>IFERROR(SUMPRODUCT(($BA$6:$BA$26&lt;&gt;"")*(BG$6:BG$26=TRUE))/SUMPRODUCT(($BA$6:$BA$26&lt;&gt;"")*1),0)</f>
        <v/>
      </c>
      <c r="BH27" s="34">
        <f>IFERROR(SUMPRODUCT(($BA$6:$BA$26&lt;&gt;"")*(BH$6:BH$26=TRUE))/SUMPRODUCT(($BA$6:$BA$26&lt;&gt;"")*1),0)</f>
        <v/>
      </c>
      <c r="BI27" s="34">
        <f>IFERROR(SUMPRODUCT(($BA$6:$BA$26&lt;&gt;"")*($BB$6:$BH$26=TRUE))/(SUMPRODUCT(($BA$6:$BA$26&lt;&gt;"")*1)*7),0)</f>
        <v/>
      </c>
      <c r="BJ27" s="36">
        <f>IF(BI27="","",REPT("█",ROUND(BI27*10,0))&amp;REPT("░",10-ROUND(BI27*10,0)))</f>
        <v/>
      </c>
    </row>
    <row r="28">
      <c r="J28" s="37">
        <f>IF(19*Settings!$C$7&gt;=1440,"",MOD(ROUND((Settings!$C$6+19*Settings!$C$7/1440)*1440,0),1440)/1440)</f>
        <v/>
      </c>
      <c r="K28" s="8" t="n"/>
      <c r="L28" s="8" t="n"/>
      <c r="M28" s="8" t="n"/>
      <c r="N28" s="8" t="n"/>
      <c r="P28" s="37">
        <f>IF(19*Settings!$C$7&gt;=1440,"",MOD(ROUND((Settings!$C$6+19*Settings!$C$7/1440)*1440,0),1440)/1440)</f>
        <v/>
      </c>
      <c r="Q28" s="8" t="n"/>
      <c r="R28" s="8" t="n"/>
      <c r="S28" s="8" t="n"/>
      <c r="T28" s="8" t="n"/>
      <c r="V28" s="37">
        <f>IF(19*Settings!$C$7&gt;=1440,"",MOD(ROUND((Settings!$C$6+19*Settings!$C$7/1440)*1440,0),1440)/1440)</f>
        <v/>
      </c>
      <c r="W28" s="8" t="n"/>
      <c r="X28" s="8" t="n"/>
      <c r="Y28" s="8" t="n"/>
      <c r="Z28" s="8" t="n"/>
      <c r="AB28" s="37">
        <f>IF(19*Settings!$C$7&gt;=1440,"",MOD(ROUND((Settings!$C$6+19*Settings!$C$7/1440)*1440,0),1440)/1440)</f>
        <v/>
      </c>
      <c r="AC28" s="8" t="n"/>
      <c r="AD28" s="8" t="n"/>
      <c r="AE28" s="8" t="n"/>
      <c r="AF28" s="8" t="n"/>
      <c r="AH28" s="37">
        <f>IF(19*Settings!$C$7&gt;=1440,"",MOD(ROUND((Settings!$C$6+19*Settings!$C$7/1440)*1440,0),1440)/1440)</f>
        <v/>
      </c>
      <c r="AI28" s="8" t="n"/>
      <c r="AJ28" s="8" t="n"/>
      <c r="AK28" s="8" t="n"/>
      <c r="AL28" s="8" t="n"/>
      <c r="AN28" s="37">
        <f>IF(19*Settings!$C$7&gt;=1440,"",MOD(ROUND((Settings!$C$6+19*Settings!$C$7/1440)*1440,0),1440)/1440)</f>
        <v/>
      </c>
      <c r="AO28" s="8" t="n"/>
      <c r="AP28" s="8" t="n"/>
      <c r="AQ28" s="8" t="n"/>
      <c r="AR28" s="8" t="n"/>
      <c r="AT28" s="37">
        <f>IF(19*Settings!$C$7&gt;=1440,"",MOD(ROUND((Settings!$C$6+19*Settings!$C$7/1440)*1440,0),1440)/1440)</f>
        <v/>
      </c>
      <c r="AU28" s="8" t="n"/>
      <c r="AV28" s="8" t="n"/>
      <c r="AW28" s="8" t="n"/>
      <c r="AX28" s="8" t="n"/>
    </row>
    <row r="29">
      <c r="J29" s="37">
        <f>IF(20*Settings!$C$7&gt;=1440,"",MOD(ROUND((Settings!$C$6+20*Settings!$C$7/1440)*1440,0),1440)/1440)</f>
        <v/>
      </c>
      <c r="K29" s="8" t="n"/>
      <c r="L29" s="8" t="n"/>
      <c r="M29" s="8" t="n"/>
      <c r="N29" s="8" t="n"/>
      <c r="P29" s="37">
        <f>IF(20*Settings!$C$7&gt;=1440,"",MOD(ROUND((Settings!$C$6+20*Settings!$C$7/1440)*1440,0),1440)/1440)</f>
        <v/>
      </c>
      <c r="Q29" s="8" t="n"/>
      <c r="R29" s="8" t="n"/>
      <c r="S29" s="8" t="n"/>
      <c r="T29" s="8" t="n"/>
      <c r="V29" s="37">
        <f>IF(20*Settings!$C$7&gt;=1440,"",MOD(ROUND((Settings!$C$6+20*Settings!$C$7/1440)*1440,0),1440)/1440)</f>
        <v/>
      </c>
      <c r="W29" s="8" t="n"/>
      <c r="X29" s="8" t="n"/>
      <c r="Y29" s="8" t="n"/>
      <c r="Z29" s="8" t="n"/>
      <c r="AB29" s="37">
        <f>IF(20*Settings!$C$7&gt;=1440,"",MOD(ROUND((Settings!$C$6+20*Settings!$C$7/1440)*1440,0),1440)/1440)</f>
        <v/>
      </c>
      <c r="AC29" s="8" t="n"/>
      <c r="AD29" s="8" t="n"/>
      <c r="AE29" s="8" t="n"/>
      <c r="AF29" s="8" t="n"/>
      <c r="AH29" s="37">
        <f>IF(20*Settings!$C$7&gt;=1440,"",MOD(ROUND((Settings!$C$6+20*Settings!$C$7/1440)*1440,0),1440)/1440)</f>
        <v/>
      </c>
      <c r="AI29" s="8" t="n"/>
      <c r="AJ29" s="8" t="n"/>
      <c r="AK29" s="8" t="n"/>
      <c r="AL29" s="8" t="n"/>
      <c r="AN29" s="37">
        <f>IF(20*Settings!$C$7&gt;=1440,"",MOD(ROUND((Settings!$C$6+20*Settings!$C$7/1440)*1440,0),1440)/1440)</f>
        <v/>
      </c>
      <c r="AO29" s="8" t="n"/>
      <c r="AP29" s="8" t="n"/>
      <c r="AQ29" s="8" t="n"/>
      <c r="AR29" s="8" t="n"/>
      <c r="AT29" s="37">
        <f>IF(20*Settings!$C$7&gt;=1440,"",MOD(ROUND((Settings!$C$6+20*Settings!$C$7/1440)*1440,0),1440)/1440)</f>
        <v/>
      </c>
      <c r="AU29" s="8" t="n"/>
      <c r="AV29" s="8" t="n"/>
      <c r="AW29" s="8" t="n"/>
      <c r="AX29" s="8" t="n"/>
    </row>
    <row r="30">
      <c r="J30" s="37">
        <f>IF(21*Settings!$C$7&gt;=1440,"",MOD(ROUND((Settings!$C$6+21*Settings!$C$7/1440)*1440,0),1440)/1440)</f>
        <v/>
      </c>
      <c r="K30" s="8" t="n"/>
      <c r="L30" s="8" t="n"/>
      <c r="M30" s="8" t="n"/>
      <c r="N30" s="8" t="n"/>
      <c r="P30" s="37">
        <f>IF(21*Settings!$C$7&gt;=1440,"",MOD(ROUND((Settings!$C$6+21*Settings!$C$7/1440)*1440,0),1440)/1440)</f>
        <v/>
      </c>
      <c r="Q30" s="8" t="n"/>
      <c r="R30" s="8" t="n"/>
      <c r="S30" s="8" t="n"/>
      <c r="T30" s="8" t="n"/>
      <c r="V30" s="37">
        <f>IF(21*Settings!$C$7&gt;=1440,"",MOD(ROUND((Settings!$C$6+21*Settings!$C$7/1440)*1440,0),1440)/1440)</f>
        <v/>
      </c>
      <c r="W30" s="8" t="n"/>
      <c r="X30" s="8" t="n"/>
      <c r="Y30" s="8" t="n"/>
      <c r="Z30" s="8" t="n"/>
      <c r="AB30" s="37">
        <f>IF(21*Settings!$C$7&gt;=1440,"",MOD(ROUND((Settings!$C$6+21*Settings!$C$7/1440)*1440,0),1440)/1440)</f>
        <v/>
      </c>
      <c r="AC30" s="8" t="n"/>
      <c r="AD30" s="8" t="n"/>
      <c r="AE30" s="8" t="n"/>
      <c r="AF30" s="8" t="n"/>
      <c r="AH30" s="37">
        <f>IF(21*Settings!$C$7&gt;=1440,"",MOD(ROUND((Settings!$C$6+21*Settings!$C$7/1440)*1440,0),1440)/1440)</f>
        <v/>
      </c>
      <c r="AI30" s="8" t="n"/>
      <c r="AJ30" s="8" t="n"/>
      <c r="AK30" s="8" t="n"/>
      <c r="AL30" s="8" t="n"/>
      <c r="AN30" s="37">
        <f>IF(21*Settings!$C$7&gt;=1440,"",MOD(ROUND((Settings!$C$6+21*Settings!$C$7/1440)*1440,0),1440)/1440)</f>
        <v/>
      </c>
      <c r="AO30" s="8" t="n"/>
      <c r="AP30" s="8" t="n"/>
      <c r="AQ30" s="8" t="n"/>
      <c r="AR30" s="8" t="n"/>
      <c r="AT30" s="37">
        <f>IF(21*Settings!$C$7&gt;=1440,"",MOD(ROUND((Settings!$C$6+21*Settings!$C$7/1440)*1440,0),1440)/1440)</f>
        <v/>
      </c>
      <c r="AU30" s="8" t="n"/>
      <c r="AV30" s="8" t="n"/>
      <c r="AW30" s="8" t="n"/>
      <c r="AX30" s="8" t="n"/>
      <c r="BA30" s="6">
        <f>IF(Settings!$C$101="",Settings!$B$101,Settings!$C$101)</f>
        <v/>
      </c>
      <c r="BB30" s="6" t="n"/>
      <c r="BC30" s="6" t="n"/>
      <c r="BD30" s="6" t="n"/>
      <c r="BE30" s="6" t="n"/>
      <c r="BF30" s="6" t="n"/>
      <c r="BG30" s="6" t="n"/>
      <c r="BH30" s="6" t="n"/>
      <c r="BI30" s="39" t="inlineStr">
        <is>
          <t>Avg</t>
        </is>
      </c>
      <c r="BJ30" s="39" t="inlineStr">
        <is>
          <t>Total</t>
        </is>
      </c>
    </row>
    <row r="31">
      <c r="J31" s="37">
        <f>IF(22*Settings!$C$7&gt;=1440,"",MOD(ROUND((Settings!$C$6+22*Settings!$C$7/1440)*1440,0),1440)/1440)</f>
        <v/>
      </c>
      <c r="K31" s="8" t="n"/>
      <c r="L31" s="8" t="n"/>
      <c r="M31" s="8" t="n"/>
      <c r="N31" s="8" t="n"/>
      <c r="P31" s="37">
        <f>IF(22*Settings!$C$7&gt;=1440,"",MOD(ROUND((Settings!$C$6+22*Settings!$C$7/1440)*1440,0),1440)/1440)</f>
        <v/>
      </c>
      <c r="Q31" s="8" t="n"/>
      <c r="R31" s="8" t="n"/>
      <c r="S31" s="8" t="n"/>
      <c r="T31" s="8" t="n"/>
      <c r="V31" s="37">
        <f>IF(22*Settings!$C$7&gt;=1440,"",MOD(ROUND((Settings!$C$6+22*Settings!$C$7/1440)*1440,0),1440)/1440)</f>
        <v/>
      </c>
      <c r="W31" s="8" t="n"/>
      <c r="X31" s="8" t="n"/>
      <c r="Y31" s="8" t="n"/>
      <c r="Z31" s="8" t="n"/>
      <c r="AB31" s="37">
        <f>IF(22*Settings!$C$7&gt;=1440,"",MOD(ROUND((Settings!$C$6+22*Settings!$C$7/1440)*1440,0),1440)/1440)</f>
        <v/>
      </c>
      <c r="AC31" s="8" t="n"/>
      <c r="AD31" s="8" t="n"/>
      <c r="AE31" s="8" t="n"/>
      <c r="AF31" s="8" t="n"/>
      <c r="AH31" s="37">
        <f>IF(22*Settings!$C$7&gt;=1440,"",MOD(ROUND((Settings!$C$6+22*Settings!$C$7/1440)*1440,0),1440)/1440)</f>
        <v/>
      </c>
      <c r="AI31" s="8" t="n"/>
      <c r="AJ31" s="8" t="n"/>
      <c r="AK31" s="8" t="n"/>
      <c r="AL31" s="8" t="n"/>
      <c r="AN31" s="37">
        <f>IF(22*Settings!$C$7&gt;=1440,"",MOD(ROUND((Settings!$C$6+22*Settings!$C$7/1440)*1440,0),1440)/1440)</f>
        <v/>
      </c>
      <c r="AO31" s="8" t="n"/>
      <c r="AP31" s="8" t="n"/>
      <c r="AQ31" s="8" t="n"/>
      <c r="AR31" s="8" t="n"/>
      <c r="AT31" s="37">
        <f>IF(22*Settings!$C$7&gt;=1440,"",MOD(ROUND((Settings!$C$6+22*Settings!$C$7/1440)*1440,0),1440)/1440)</f>
        <v/>
      </c>
      <c r="AU31" s="8" t="n"/>
      <c r="AV31" s="8" t="n"/>
      <c r="AW31" s="8" t="n"/>
      <c r="AX31" s="8" t="n"/>
      <c r="BA31" s="40">
        <f>Settings!$B$61&amp;IF(Settings!$C$61&lt;&gt;""," ("&amp;Settings!$C$61&amp;")","")</f>
        <v/>
      </c>
      <c r="BB31" s="14" t="n"/>
      <c r="BC31" s="14" t="n"/>
      <c r="BD31" s="14" t="n"/>
      <c r="BE31" s="14" t="n"/>
      <c r="BF31" s="14" t="n"/>
      <c r="BG31" s="14" t="n"/>
      <c r="BH31" s="14" t="n"/>
      <c r="BI31" s="41">
        <f>IFERROR(AVERAGE(BB31:BH31),0)</f>
        <v/>
      </c>
      <c r="BJ31" s="41">
        <f>SUM(BB31:BH31)</f>
        <v/>
      </c>
      <c r="BM31">
        <f>IF(BB31="","",IFERROR(MIN(1,MAX(0,(BB31-Settings!$D$61)/(Settings!$E$61-Settings!$D$61))),0))</f>
        <v/>
      </c>
      <c r="BN31">
        <f>IF(BC31="","",IFERROR(MIN(1,MAX(0,(BC31-Settings!$D$61)/(Settings!$E$61-Settings!$D$61))),0))</f>
        <v/>
      </c>
      <c r="BO31">
        <f>IF(BD31="","",IFERROR(MIN(1,MAX(0,(BD31-Settings!$D$61)/(Settings!$E$61-Settings!$D$61))),0))</f>
        <v/>
      </c>
      <c r="BP31">
        <f>IF(BE31="","",IFERROR(MIN(1,MAX(0,(BE31-Settings!$D$61)/(Settings!$E$61-Settings!$D$61))),0))</f>
        <v/>
      </c>
      <c r="BQ31">
        <f>IF(BF31="","",IFERROR(MIN(1,MAX(0,(BF31-Settings!$D$61)/(Settings!$E$61-Settings!$D$61))),0))</f>
        <v/>
      </c>
      <c r="BR31">
        <f>IF(BG31="","",IFERROR(MIN(1,MAX(0,(BG31-Settings!$D$61)/(Settings!$E$61-Settings!$D$61))),0))</f>
        <v/>
      </c>
      <c r="BS31">
        <f>IF(BH31="","",IFERROR(MIN(1,MAX(0,(BH31-Settings!$D$61)/(Settings!$E$61-Settings!$D$61))),0))</f>
        <v/>
      </c>
      <c r="BT31">
        <f>IFERROR(MIN(1,MAX(0,(BI31-Settings!$D$61)/(Settings!$E$61-Settings!$D$61))),0)</f>
        <v/>
      </c>
    </row>
    <row r="32">
      <c r="J32" s="37">
        <f>IF(23*Settings!$C$7&gt;=1440,"",MOD(ROUND((Settings!$C$6+23*Settings!$C$7/1440)*1440,0),1440)/1440)</f>
        <v/>
      </c>
      <c r="K32" s="8" t="n"/>
      <c r="L32" s="8" t="n"/>
      <c r="M32" s="8" t="n"/>
      <c r="N32" s="8" t="n"/>
      <c r="P32" s="37">
        <f>IF(23*Settings!$C$7&gt;=1440,"",MOD(ROUND((Settings!$C$6+23*Settings!$C$7/1440)*1440,0),1440)/1440)</f>
        <v/>
      </c>
      <c r="Q32" s="8" t="n"/>
      <c r="R32" s="8" t="n"/>
      <c r="S32" s="8" t="n"/>
      <c r="T32" s="8" t="n"/>
      <c r="V32" s="37">
        <f>IF(23*Settings!$C$7&gt;=1440,"",MOD(ROUND((Settings!$C$6+23*Settings!$C$7/1440)*1440,0),1440)/1440)</f>
        <v/>
      </c>
      <c r="W32" s="8" t="n"/>
      <c r="X32" s="8" t="n"/>
      <c r="Y32" s="8" t="n"/>
      <c r="Z32" s="8" t="n"/>
      <c r="AB32" s="37">
        <f>IF(23*Settings!$C$7&gt;=1440,"",MOD(ROUND((Settings!$C$6+23*Settings!$C$7/1440)*1440,0),1440)/1440)</f>
        <v/>
      </c>
      <c r="AC32" s="8" t="n"/>
      <c r="AD32" s="8" t="n"/>
      <c r="AE32" s="8" t="n"/>
      <c r="AF32" s="8" t="n"/>
      <c r="AH32" s="37">
        <f>IF(23*Settings!$C$7&gt;=1440,"",MOD(ROUND((Settings!$C$6+23*Settings!$C$7/1440)*1440,0),1440)/1440)</f>
        <v/>
      </c>
      <c r="AI32" s="8" t="n"/>
      <c r="AJ32" s="8" t="n"/>
      <c r="AK32" s="8" t="n"/>
      <c r="AL32" s="8" t="n"/>
      <c r="AN32" s="37">
        <f>IF(23*Settings!$C$7&gt;=1440,"",MOD(ROUND((Settings!$C$6+23*Settings!$C$7/1440)*1440,0),1440)/1440)</f>
        <v/>
      </c>
      <c r="AO32" s="8" t="n"/>
      <c r="AP32" s="8" t="n"/>
      <c r="AQ32" s="8" t="n"/>
      <c r="AR32" s="8" t="n"/>
      <c r="AT32" s="37">
        <f>IF(23*Settings!$C$7&gt;=1440,"",MOD(ROUND((Settings!$C$6+23*Settings!$C$7/1440)*1440,0),1440)/1440)</f>
        <v/>
      </c>
      <c r="AU32" s="8" t="n"/>
      <c r="AV32" s="8" t="n"/>
      <c r="AW32" s="8" t="n"/>
      <c r="AX32" s="8" t="n"/>
      <c r="BA32" s="42" t="inlineStr">
        <is>
          <t>progress</t>
        </is>
      </c>
      <c r="BB32" s="43">
        <f>IF(BM31="","",REPT("█",ROUND(BM31*5,0))&amp;REPT("░",5-ROUND(BM31*5,0)))</f>
        <v/>
      </c>
      <c r="BC32" s="43">
        <f>IF(BN31="","",REPT("█",ROUND(BN31*5,0))&amp;REPT("░",5-ROUND(BN31*5,0)))</f>
        <v/>
      </c>
      <c r="BD32" s="43">
        <f>IF(BO31="","",REPT("█",ROUND(BO31*5,0))&amp;REPT("░",5-ROUND(BO31*5,0)))</f>
        <v/>
      </c>
      <c r="BE32" s="43">
        <f>IF(BP31="","",REPT("█",ROUND(BP31*5,0))&amp;REPT("░",5-ROUND(BP31*5,0)))</f>
        <v/>
      </c>
      <c r="BF32" s="43">
        <f>IF(BQ31="","",REPT("█",ROUND(BQ31*5,0))&amp;REPT("░",5-ROUND(BQ31*5,0)))</f>
        <v/>
      </c>
      <c r="BG32" s="43">
        <f>IF(BR31="","",REPT("█",ROUND(BR31*5,0))&amp;REPT("░",5-ROUND(BR31*5,0)))</f>
        <v/>
      </c>
      <c r="BH32" s="43">
        <f>IF(BS31="","",REPT("█",ROUND(BS31*5,0))&amp;REPT("░",5-ROUND(BS31*5,0)))</f>
        <v/>
      </c>
      <c r="BI32" s="43">
        <f>IF(BT31="","",REPT("█",ROUND(BT31*5,0))&amp;REPT("░",5-ROUND(BT31*5,0)))</f>
        <v/>
      </c>
    </row>
    <row r="33">
      <c r="J33" s="37">
        <f>IF(24*Settings!$C$7&gt;=1440,"",MOD(ROUND((Settings!$C$6+24*Settings!$C$7/1440)*1440,0),1440)/1440)</f>
        <v/>
      </c>
      <c r="K33" s="8" t="n"/>
      <c r="L33" s="8" t="n"/>
      <c r="M33" s="8" t="n"/>
      <c r="N33" s="8" t="n"/>
      <c r="P33" s="37">
        <f>IF(24*Settings!$C$7&gt;=1440,"",MOD(ROUND((Settings!$C$6+24*Settings!$C$7/1440)*1440,0),1440)/1440)</f>
        <v/>
      </c>
      <c r="Q33" s="8" t="n"/>
      <c r="R33" s="8" t="n"/>
      <c r="S33" s="8" t="n"/>
      <c r="T33" s="8" t="n"/>
      <c r="V33" s="37">
        <f>IF(24*Settings!$C$7&gt;=1440,"",MOD(ROUND((Settings!$C$6+24*Settings!$C$7/1440)*1440,0),1440)/1440)</f>
        <v/>
      </c>
      <c r="W33" s="8" t="n"/>
      <c r="X33" s="8" t="n"/>
      <c r="Y33" s="8" t="n"/>
      <c r="Z33" s="8" t="n"/>
      <c r="AB33" s="37">
        <f>IF(24*Settings!$C$7&gt;=1440,"",MOD(ROUND((Settings!$C$6+24*Settings!$C$7/1440)*1440,0),1440)/1440)</f>
        <v/>
      </c>
      <c r="AC33" s="8" t="n"/>
      <c r="AD33" s="8" t="n"/>
      <c r="AE33" s="8" t="n"/>
      <c r="AF33" s="8" t="n"/>
      <c r="AH33" s="37">
        <f>IF(24*Settings!$C$7&gt;=1440,"",MOD(ROUND((Settings!$C$6+24*Settings!$C$7/1440)*1440,0),1440)/1440)</f>
        <v/>
      </c>
      <c r="AI33" s="8" t="n"/>
      <c r="AJ33" s="8" t="n"/>
      <c r="AK33" s="8" t="n"/>
      <c r="AL33" s="8" t="n"/>
      <c r="AN33" s="37">
        <f>IF(24*Settings!$C$7&gt;=1440,"",MOD(ROUND((Settings!$C$6+24*Settings!$C$7/1440)*1440,0),1440)/1440)</f>
        <v/>
      </c>
      <c r="AO33" s="8" t="n"/>
      <c r="AP33" s="8" t="n"/>
      <c r="AQ33" s="8" t="n"/>
      <c r="AR33" s="8" t="n"/>
      <c r="AT33" s="37">
        <f>IF(24*Settings!$C$7&gt;=1440,"",MOD(ROUND((Settings!$C$6+24*Settings!$C$7/1440)*1440,0),1440)/1440)</f>
        <v/>
      </c>
      <c r="AU33" s="8" t="n"/>
      <c r="AV33" s="8" t="n"/>
      <c r="AW33" s="8" t="n"/>
      <c r="AX33" s="8" t="n"/>
      <c r="BA33" s="40">
        <f>Settings!$B$62&amp;IF(Settings!$C$62&lt;&gt;""," ("&amp;Settings!$C$62&amp;")","")</f>
        <v/>
      </c>
      <c r="BB33" s="14" t="n"/>
      <c r="BC33" s="14" t="n"/>
      <c r="BD33" s="14" t="n"/>
      <c r="BE33" s="14" t="n"/>
      <c r="BF33" s="14" t="n"/>
      <c r="BG33" s="14" t="n"/>
      <c r="BH33" s="14" t="n"/>
      <c r="BI33" s="41">
        <f>IFERROR(AVERAGE(BB33:BH33),0)</f>
        <v/>
      </c>
      <c r="BJ33" s="41">
        <f>SUM(BB33:BH33)</f>
        <v/>
      </c>
      <c r="BM33">
        <f>IF(BB33="","",IFERROR(MIN(1,MAX(0,(BB33-Settings!$D$62)/(Settings!$E$62-Settings!$D$62))),0))</f>
        <v/>
      </c>
      <c r="BN33">
        <f>IF(BC33="","",IFERROR(MIN(1,MAX(0,(BC33-Settings!$D$62)/(Settings!$E$62-Settings!$D$62))),0))</f>
        <v/>
      </c>
      <c r="BO33">
        <f>IF(BD33="","",IFERROR(MIN(1,MAX(0,(BD33-Settings!$D$62)/(Settings!$E$62-Settings!$D$62))),0))</f>
        <v/>
      </c>
      <c r="BP33">
        <f>IF(BE33="","",IFERROR(MIN(1,MAX(0,(BE33-Settings!$D$62)/(Settings!$E$62-Settings!$D$62))),0))</f>
        <v/>
      </c>
      <c r="BQ33">
        <f>IF(BF33="","",IFERROR(MIN(1,MAX(0,(BF33-Settings!$D$62)/(Settings!$E$62-Settings!$D$62))),0))</f>
        <v/>
      </c>
      <c r="BR33">
        <f>IF(BG33="","",IFERROR(MIN(1,MAX(0,(BG33-Settings!$D$62)/(Settings!$E$62-Settings!$D$62))),0))</f>
        <v/>
      </c>
      <c r="BS33">
        <f>IF(BH33="","",IFERROR(MIN(1,MAX(0,(BH33-Settings!$D$62)/(Settings!$E$62-Settings!$D$62))),0))</f>
        <v/>
      </c>
      <c r="BT33">
        <f>IFERROR(MIN(1,MAX(0,(BI33-Settings!$D$62)/(Settings!$E$62-Settings!$D$62))),0)</f>
        <v/>
      </c>
    </row>
    <row r="34">
      <c r="J34" s="37">
        <f>IF(25*Settings!$C$7&gt;=1440,"",MOD(ROUND((Settings!$C$6+25*Settings!$C$7/1440)*1440,0),1440)/1440)</f>
        <v/>
      </c>
      <c r="K34" s="8" t="n"/>
      <c r="L34" s="8" t="n"/>
      <c r="M34" s="8" t="n"/>
      <c r="N34" s="8" t="n"/>
      <c r="P34" s="37">
        <f>IF(25*Settings!$C$7&gt;=1440,"",MOD(ROUND((Settings!$C$6+25*Settings!$C$7/1440)*1440,0),1440)/1440)</f>
        <v/>
      </c>
      <c r="Q34" s="8" t="n"/>
      <c r="R34" s="8" t="n"/>
      <c r="S34" s="8" t="n"/>
      <c r="T34" s="8" t="n"/>
      <c r="V34" s="37">
        <f>IF(25*Settings!$C$7&gt;=1440,"",MOD(ROUND((Settings!$C$6+25*Settings!$C$7/1440)*1440,0),1440)/1440)</f>
        <v/>
      </c>
      <c r="W34" s="8" t="n"/>
      <c r="X34" s="8" t="n"/>
      <c r="Y34" s="8" t="n"/>
      <c r="Z34" s="8" t="n"/>
      <c r="AB34" s="37">
        <f>IF(25*Settings!$C$7&gt;=1440,"",MOD(ROUND((Settings!$C$6+25*Settings!$C$7/1440)*1440,0),1440)/1440)</f>
        <v/>
      </c>
      <c r="AC34" s="8" t="n"/>
      <c r="AD34" s="8" t="n"/>
      <c r="AE34" s="8" t="n"/>
      <c r="AF34" s="8" t="n"/>
      <c r="AH34" s="37">
        <f>IF(25*Settings!$C$7&gt;=1440,"",MOD(ROUND((Settings!$C$6+25*Settings!$C$7/1440)*1440,0),1440)/1440)</f>
        <v/>
      </c>
      <c r="AI34" s="8" t="n"/>
      <c r="AJ34" s="8" t="n"/>
      <c r="AK34" s="8" t="n"/>
      <c r="AL34" s="8" t="n"/>
      <c r="AN34" s="37">
        <f>IF(25*Settings!$C$7&gt;=1440,"",MOD(ROUND((Settings!$C$6+25*Settings!$C$7/1440)*1440,0),1440)/1440)</f>
        <v/>
      </c>
      <c r="AO34" s="8" t="n"/>
      <c r="AP34" s="8" t="n"/>
      <c r="AQ34" s="8" t="n"/>
      <c r="AR34" s="8" t="n"/>
      <c r="AT34" s="37">
        <f>IF(25*Settings!$C$7&gt;=1440,"",MOD(ROUND((Settings!$C$6+25*Settings!$C$7/1440)*1440,0),1440)/1440)</f>
        <v/>
      </c>
      <c r="AU34" s="8" t="n"/>
      <c r="AV34" s="8" t="n"/>
      <c r="AW34" s="8" t="n"/>
      <c r="AX34" s="8" t="n"/>
      <c r="BA34" s="42" t="inlineStr">
        <is>
          <t>progress</t>
        </is>
      </c>
      <c r="BB34" s="43">
        <f>IF(BM33="","",REPT("█",ROUND(BM33*5,0))&amp;REPT("░",5-ROUND(BM33*5,0)))</f>
        <v/>
      </c>
      <c r="BC34" s="43">
        <f>IF(BN33="","",REPT("█",ROUND(BN33*5,0))&amp;REPT("░",5-ROUND(BN33*5,0)))</f>
        <v/>
      </c>
      <c r="BD34" s="43">
        <f>IF(BO33="","",REPT("█",ROUND(BO33*5,0))&amp;REPT("░",5-ROUND(BO33*5,0)))</f>
        <v/>
      </c>
      <c r="BE34" s="43">
        <f>IF(BP33="","",REPT("█",ROUND(BP33*5,0))&amp;REPT("░",5-ROUND(BP33*5,0)))</f>
        <v/>
      </c>
      <c r="BF34" s="43">
        <f>IF(BQ33="","",REPT("█",ROUND(BQ33*5,0))&amp;REPT("░",5-ROUND(BQ33*5,0)))</f>
        <v/>
      </c>
      <c r="BG34" s="43">
        <f>IF(BR33="","",REPT("█",ROUND(BR33*5,0))&amp;REPT("░",5-ROUND(BR33*5,0)))</f>
        <v/>
      </c>
      <c r="BH34" s="43">
        <f>IF(BS33="","",REPT("█",ROUND(BS33*5,0))&amp;REPT("░",5-ROUND(BS33*5,0)))</f>
        <v/>
      </c>
      <c r="BI34" s="43">
        <f>IF(BT33="","",REPT("█",ROUND(BT33*5,0))&amp;REPT("░",5-ROUND(BT33*5,0)))</f>
        <v/>
      </c>
    </row>
    <row r="35">
      <c r="J35" s="37">
        <f>IF(26*Settings!$C$7&gt;=1440,"",MOD(ROUND((Settings!$C$6+26*Settings!$C$7/1440)*1440,0),1440)/1440)</f>
        <v/>
      </c>
      <c r="K35" s="8" t="n"/>
      <c r="L35" s="8" t="n"/>
      <c r="M35" s="8" t="n"/>
      <c r="N35" s="8" t="n"/>
      <c r="P35" s="37">
        <f>IF(26*Settings!$C$7&gt;=1440,"",MOD(ROUND((Settings!$C$6+26*Settings!$C$7/1440)*1440,0),1440)/1440)</f>
        <v/>
      </c>
      <c r="Q35" s="8" t="n"/>
      <c r="R35" s="8" t="n"/>
      <c r="S35" s="8" t="n"/>
      <c r="T35" s="8" t="n"/>
      <c r="V35" s="37">
        <f>IF(26*Settings!$C$7&gt;=1440,"",MOD(ROUND((Settings!$C$6+26*Settings!$C$7/1440)*1440,0),1440)/1440)</f>
        <v/>
      </c>
      <c r="W35" s="8" t="n"/>
      <c r="X35" s="8" t="n"/>
      <c r="Y35" s="8" t="n"/>
      <c r="Z35" s="8" t="n"/>
      <c r="AB35" s="37">
        <f>IF(26*Settings!$C$7&gt;=1440,"",MOD(ROUND((Settings!$C$6+26*Settings!$C$7/1440)*1440,0),1440)/1440)</f>
        <v/>
      </c>
      <c r="AC35" s="8" t="n"/>
      <c r="AD35" s="8" t="n"/>
      <c r="AE35" s="8" t="n"/>
      <c r="AF35" s="8" t="n"/>
      <c r="AH35" s="37">
        <f>IF(26*Settings!$C$7&gt;=1440,"",MOD(ROUND((Settings!$C$6+26*Settings!$C$7/1440)*1440,0),1440)/1440)</f>
        <v/>
      </c>
      <c r="AI35" s="8" t="n"/>
      <c r="AJ35" s="8" t="n"/>
      <c r="AK35" s="8" t="n"/>
      <c r="AL35" s="8" t="n"/>
      <c r="AN35" s="37">
        <f>IF(26*Settings!$C$7&gt;=1440,"",MOD(ROUND((Settings!$C$6+26*Settings!$C$7/1440)*1440,0),1440)/1440)</f>
        <v/>
      </c>
      <c r="AO35" s="8" t="n"/>
      <c r="AP35" s="8" t="n"/>
      <c r="AQ35" s="8" t="n"/>
      <c r="AR35" s="8" t="n"/>
      <c r="AT35" s="37">
        <f>IF(26*Settings!$C$7&gt;=1440,"",MOD(ROUND((Settings!$C$6+26*Settings!$C$7/1440)*1440,0),1440)/1440)</f>
        <v/>
      </c>
      <c r="AU35" s="8" t="n"/>
      <c r="AV35" s="8" t="n"/>
      <c r="AW35" s="8" t="n"/>
      <c r="AX35" s="8" t="n"/>
      <c r="BA35" s="40">
        <f>Settings!$B$63&amp;IF(Settings!$C$63&lt;&gt;""," ("&amp;Settings!$C$63&amp;")","")</f>
        <v/>
      </c>
      <c r="BB35" s="14" t="n"/>
      <c r="BC35" s="14" t="n"/>
      <c r="BD35" s="14" t="n"/>
      <c r="BE35" s="14" t="n"/>
      <c r="BF35" s="14" t="n"/>
      <c r="BG35" s="14" t="n"/>
      <c r="BH35" s="14" t="n"/>
      <c r="BI35" s="41">
        <f>IFERROR(AVERAGE(BB35:BH35),0)</f>
        <v/>
      </c>
      <c r="BJ35" s="41">
        <f>SUM(BB35:BH35)</f>
        <v/>
      </c>
      <c r="BM35">
        <f>IF(BB35="","",IFERROR(MIN(1,MAX(0,(BB35-Settings!$D$63)/(Settings!$E$63-Settings!$D$63))),0))</f>
        <v/>
      </c>
      <c r="BN35">
        <f>IF(BC35="","",IFERROR(MIN(1,MAX(0,(BC35-Settings!$D$63)/(Settings!$E$63-Settings!$D$63))),0))</f>
        <v/>
      </c>
      <c r="BO35">
        <f>IF(BD35="","",IFERROR(MIN(1,MAX(0,(BD35-Settings!$D$63)/(Settings!$E$63-Settings!$D$63))),0))</f>
        <v/>
      </c>
      <c r="BP35">
        <f>IF(BE35="","",IFERROR(MIN(1,MAX(0,(BE35-Settings!$D$63)/(Settings!$E$63-Settings!$D$63))),0))</f>
        <v/>
      </c>
      <c r="BQ35">
        <f>IF(BF35="","",IFERROR(MIN(1,MAX(0,(BF35-Settings!$D$63)/(Settings!$E$63-Settings!$D$63))),0))</f>
        <v/>
      </c>
      <c r="BR35">
        <f>IF(BG35="","",IFERROR(MIN(1,MAX(0,(BG35-Settings!$D$63)/(Settings!$E$63-Settings!$D$63))),0))</f>
        <v/>
      </c>
      <c r="BS35">
        <f>IF(BH35="","",IFERROR(MIN(1,MAX(0,(BH35-Settings!$D$63)/(Settings!$E$63-Settings!$D$63))),0))</f>
        <v/>
      </c>
      <c r="BT35">
        <f>IFERROR(MIN(1,MAX(0,(BI35-Settings!$D$63)/(Settings!$E$63-Settings!$D$63))),0)</f>
        <v/>
      </c>
    </row>
    <row r="36">
      <c r="J36" s="37">
        <f>IF(27*Settings!$C$7&gt;=1440,"",MOD(ROUND((Settings!$C$6+27*Settings!$C$7/1440)*1440,0),1440)/1440)</f>
        <v/>
      </c>
      <c r="K36" s="8" t="n"/>
      <c r="L36" s="8" t="n"/>
      <c r="M36" s="8" t="n"/>
      <c r="N36" s="8" t="n"/>
      <c r="P36" s="37">
        <f>IF(27*Settings!$C$7&gt;=1440,"",MOD(ROUND((Settings!$C$6+27*Settings!$C$7/1440)*1440,0),1440)/1440)</f>
        <v/>
      </c>
      <c r="Q36" s="8" t="n"/>
      <c r="R36" s="8" t="n"/>
      <c r="S36" s="8" t="n"/>
      <c r="T36" s="8" t="n"/>
      <c r="V36" s="37">
        <f>IF(27*Settings!$C$7&gt;=1440,"",MOD(ROUND((Settings!$C$6+27*Settings!$C$7/1440)*1440,0),1440)/1440)</f>
        <v/>
      </c>
      <c r="W36" s="8" t="n"/>
      <c r="X36" s="8" t="n"/>
      <c r="Y36" s="8" t="n"/>
      <c r="Z36" s="8" t="n"/>
      <c r="AB36" s="37">
        <f>IF(27*Settings!$C$7&gt;=1440,"",MOD(ROUND((Settings!$C$6+27*Settings!$C$7/1440)*1440,0),1440)/1440)</f>
        <v/>
      </c>
      <c r="AC36" s="8" t="n"/>
      <c r="AD36" s="8" t="n"/>
      <c r="AE36" s="8" t="n"/>
      <c r="AF36" s="8" t="n"/>
      <c r="AH36" s="37">
        <f>IF(27*Settings!$C$7&gt;=1440,"",MOD(ROUND((Settings!$C$6+27*Settings!$C$7/1440)*1440,0),1440)/1440)</f>
        <v/>
      </c>
      <c r="AI36" s="8" t="n"/>
      <c r="AJ36" s="8" t="n"/>
      <c r="AK36" s="8" t="n"/>
      <c r="AL36" s="8" t="n"/>
      <c r="AN36" s="37">
        <f>IF(27*Settings!$C$7&gt;=1440,"",MOD(ROUND((Settings!$C$6+27*Settings!$C$7/1440)*1440,0),1440)/1440)</f>
        <v/>
      </c>
      <c r="AO36" s="8" t="n"/>
      <c r="AP36" s="8" t="n"/>
      <c r="AQ36" s="8" t="n"/>
      <c r="AR36" s="8" t="n"/>
      <c r="AT36" s="37">
        <f>IF(27*Settings!$C$7&gt;=1440,"",MOD(ROUND((Settings!$C$6+27*Settings!$C$7/1440)*1440,0),1440)/1440)</f>
        <v/>
      </c>
      <c r="AU36" s="8" t="n"/>
      <c r="AV36" s="8" t="n"/>
      <c r="AW36" s="8" t="n"/>
      <c r="AX36" s="8" t="n"/>
      <c r="BA36" s="42" t="inlineStr">
        <is>
          <t>progress</t>
        </is>
      </c>
      <c r="BB36" s="43">
        <f>IF(BM35="","",REPT("█",ROUND(BM35*5,0))&amp;REPT("░",5-ROUND(BM35*5,0)))</f>
        <v/>
      </c>
      <c r="BC36" s="43">
        <f>IF(BN35="","",REPT("█",ROUND(BN35*5,0))&amp;REPT("░",5-ROUND(BN35*5,0)))</f>
        <v/>
      </c>
      <c r="BD36" s="43">
        <f>IF(BO35="","",REPT("█",ROUND(BO35*5,0))&amp;REPT("░",5-ROUND(BO35*5,0)))</f>
        <v/>
      </c>
      <c r="BE36" s="43">
        <f>IF(BP35="","",REPT("█",ROUND(BP35*5,0))&amp;REPT("░",5-ROUND(BP35*5,0)))</f>
        <v/>
      </c>
      <c r="BF36" s="43">
        <f>IF(BQ35="","",REPT("█",ROUND(BQ35*5,0))&amp;REPT("░",5-ROUND(BQ35*5,0)))</f>
        <v/>
      </c>
      <c r="BG36" s="43">
        <f>IF(BR35="","",REPT("█",ROUND(BR35*5,0))&amp;REPT("░",5-ROUND(BR35*5,0)))</f>
        <v/>
      </c>
      <c r="BH36" s="43">
        <f>IF(BS35="","",REPT("█",ROUND(BS35*5,0))&amp;REPT("░",5-ROUND(BS35*5,0)))</f>
        <v/>
      </c>
      <c r="BI36" s="43">
        <f>IF(BT35="","",REPT("█",ROUND(BT35*5,0))&amp;REPT("░",5-ROUND(BT35*5,0)))</f>
        <v/>
      </c>
    </row>
    <row r="37">
      <c r="J37" s="37">
        <f>IF(28*Settings!$C$7&gt;=1440,"",MOD(ROUND((Settings!$C$6+28*Settings!$C$7/1440)*1440,0),1440)/1440)</f>
        <v/>
      </c>
      <c r="K37" s="8" t="n"/>
      <c r="L37" s="8" t="n"/>
      <c r="M37" s="8" t="n"/>
      <c r="N37" s="8" t="n"/>
      <c r="P37" s="37">
        <f>IF(28*Settings!$C$7&gt;=1440,"",MOD(ROUND((Settings!$C$6+28*Settings!$C$7/1440)*1440,0),1440)/1440)</f>
        <v/>
      </c>
      <c r="Q37" s="8" t="n"/>
      <c r="R37" s="8" t="n"/>
      <c r="S37" s="8" t="n"/>
      <c r="T37" s="8" t="n"/>
      <c r="V37" s="37">
        <f>IF(28*Settings!$C$7&gt;=1440,"",MOD(ROUND((Settings!$C$6+28*Settings!$C$7/1440)*1440,0),1440)/1440)</f>
        <v/>
      </c>
      <c r="W37" s="8" t="n"/>
      <c r="X37" s="8" t="n"/>
      <c r="Y37" s="8" t="n"/>
      <c r="Z37" s="8" t="n"/>
      <c r="AB37" s="37">
        <f>IF(28*Settings!$C$7&gt;=1440,"",MOD(ROUND((Settings!$C$6+28*Settings!$C$7/1440)*1440,0),1440)/1440)</f>
        <v/>
      </c>
      <c r="AC37" s="8" t="n"/>
      <c r="AD37" s="8" t="n"/>
      <c r="AE37" s="8" t="n"/>
      <c r="AF37" s="8" t="n"/>
      <c r="AH37" s="37">
        <f>IF(28*Settings!$C$7&gt;=1440,"",MOD(ROUND((Settings!$C$6+28*Settings!$C$7/1440)*1440,0),1440)/1440)</f>
        <v/>
      </c>
      <c r="AI37" s="8" t="n"/>
      <c r="AJ37" s="8" t="n"/>
      <c r="AK37" s="8" t="n"/>
      <c r="AL37" s="8" t="n"/>
      <c r="AN37" s="37">
        <f>IF(28*Settings!$C$7&gt;=1440,"",MOD(ROUND((Settings!$C$6+28*Settings!$C$7/1440)*1440,0),1440)/1440)</f>
        <v/>
      </c>
      <c r="AO37" s="8" t="n"/>
      <c r="AP37" s="8" t="n"/>
      <c r="AQ37" s="8" t="n"/>
      <c r="AR37" s="8" t="n"/>
      <c r="AT37" s="37">
        <f>IF(28*Settings!$C$7&gt;=1440,"",MOD(ROUND((Settings!$C$6+28*Settings!$C$7/1440)*1440,0),1440)/1440)</f>
        <v/>
      </c>
      <c r="AU37" s="8" t="n"/>
      <c r="AV37" s="8" t="n"/>
      <c r="AW37" s="8" t="n"/>
      <c r="AX37" s="8" t="n"/>
      <c r="BA37" s="40">
        <f>Settings!$B$64&amp;IF(Settings!$C$64&lt;&gt;""," ("&amp;Settings!$C$64&amp;")","")</f>
        <v/>
      </c>
      <c r="BB37" s="14" t="n"/>
      <c r="BC37" s="14" t="n"/>
      <c r="BD37" s="14" t="n"/>
      <c r="BE37" s="14" t="n"/>
      <c r="BF37" s="14" t="n"/>
      <c r="BG37" s="14" t="n"/>
      <c r="BH37" s="14" t="n"/>
      <c r="BI37" s="41">
        <f>IFERROR(AVERAGE(BB37:BH37),0)</f>
        <v/>
      </c>
      <c r="BJ37" s="41">
        <f>SUM(BB37:BH37)</f>
        <v/>
      </c>
      <c r="BM37">
        <f>IF(BB37="","",IFERROR(MIN(1,MAX(0,(BB37-Settings!$D$64)/(Settings!$E$64-Settings!$D$64))),0))</f>
        <v/>
      </c>
      <c r="BN37">
        <f>IF(BC37="","",IFERROR(MIN(1,MAX(0,(BC37-Settings!$D$64)/(Settings!$E$64-Settings!$D$64))),0))</f>
        <v/>
      </c>
      <c r="BO37">
        <f>IF(BD37="","",IFERROR(MIN(1,MAX(0,(BD37-Settings!$D$64)/(Settings!$E$64-Settings!$D$64))),0))</f>
        <v/>
      </c>
      <c r="BP37">
        <f>IF(BE37="","",IFERROR(MIN(1,MAX(0,(BE37-Settings!$D$64)/(Settings!$E$64-Settings!$D$64))),0))</f>
        <v/>
      </c>
      <c r="BQ37">
        <f>IF(BF37="","",IFERROR(MIN(1,MAX(0,(BF37-Settings!$D$64)/(Settings!$E$64-Settings!$D$64))),0))</f>
        <v/>
      </c>
      <c r="BR37">
        <f>IF(BG37="","",IFERROR(MIN(1,MAX(0,(BG37-Settings!$D$64)/(Settings!$E$64-Settings!$D$64))),0))</f>
        <v/>
      </c>
      <c r="BS37">
        <f>IF(BH37="","",IFERROR(MIN(1,MAX(0,(BH37-Settings!$D$64)/(Settings!$E$64-Settings!$D$64))),0))</f>
        <v/>
      </c>
      <c r="BT37">
        <f>IFERROR(MIN(1,MAX(0,(BI37-Settings!$D$64)/(Settings!$E$64-Settings!$D$64))),0)</f>
        <v/>
      </c>
    </row>
    <row r="38">
      <c r="J38" s="37">
        <f>IF(29*Settings!$C$7&gt;=1440,"",MOD(ROUND((Settings!$C$6+29*Settings!$C$7/1440)*1440,0),1440)/1440)</f>
        <v/>
      </c>
      <c r="K38" s="8" t="n"/>
      <c r="L38" s="8" t="n"/>
      <c r="M38" s="8" t="n"/>
      <c r="N38" s="8" t="n"/>
      <c r="P38" s="37">
        <f>IF(29*Settings!$C$7&gt;=1440,"",MOD(ROUND((Settings!$C$6+29*Settings!$C$7/1440)*1440,0),1440)/1440)</f>
        <v/>
      </c>
      <c r="Q38" s="8" t="n"/>
      <c r="R38" s="8" t="n"/>
      <c r="S38" s="8" t="n"/>
      <c r="T38" s="8" t="n"/>
      <c r="V38" s="37">
        <f>IF(29*Settings!$C$7&gt;=1440,"",MOD(ROUND((Settings!$C$6+29*Settings!$C$7/1440)*1440,0),1440)/1440)</f>
        <v/>
      </c>
      <c r="W38" s="8" t="n"/>
      <c r="X38" s="8" t="n"/>
      <c r="Y38" s="8" t="n"/>
      <c r="Z38" s="8" t="n"/>
      <c r="AB38" s="37">
        <f>IF(29*Settings!$C$7&gt;=1440,"",MOD(ROUND((Settings!$C$6+29*Settings!$C$7/1440)*1440,0),1440)/1440)</f>
        <v/>
      </c>
      <c r="AC38" s="8" t="n"/>
      <c r="AD38" s="8" t="n"/>
      <c r="AE38" s="8" t="n"/>
      <c r="AF38" s="8" t="n"/>
      <c r="AH38" s="37">
        <f>IF(29*Settings!$C$7&gt;=1440,"",MOD(ROUND((Settings!$C$6+29*Settings!$C$7/1440)*1440,0),1440)/1440)</f>
        <v/>
      </c>
      <c r="AI38" s="8" t="n"/>
      <c r="AJ38" s="8" t="n"/>
      <c r="AK38" s="8" t="n"/>
      <c r="AL38" s="8" t="n"/>
      <c r="AN38" s="37">
        <f>IF(29*Settings!$C$7&gt;=1440,"",MOD(ROUND((Settings!$C$6+29*Settings!$C$7/1440)*1440,0),1440)/1440)</f>
        <v/>
      </c>
      <c r="AO38" s="8" t="n"/>
      <c r="AP38" s="8" t="n"/>
      <c r="AQ38" s="8" t="n"/>
      <c r="AR38" s="8" t="n"/>
      <c r="AT38" s="37">
        <f>IF(29*Settings!$C$7&gt;=1440,"",MOD(ROUND((Settings!$C$6+29*Settings!$C$7/1440)*1440,0),1440)/1440)</f>
        <v/>
      </c>
      <c r="AU38" s="8" t="n"/>
      <c r="AV38" s="8" t="n"/>
      <c r="AW38" s="8" t="n"/>
      <c r="AX38" s="8" t="n"/>
      <c r="BA38" s="42" t="inlineStr">
        <is>
          <t>progress</t>
        </is>
      </c>
      <c r="BB38" s="43">
        <f>IF(BM37="","",REPT("█",ROUND(BM37*5,0))&amp;REPT("░",5-ROUND(BM37*5,0)))</f>
        <v/>
      </c>
      <c r="BC38" s="43">
        <f>IF(BN37="","",REPT("█",ROUND(BN37*5,0))&amp;REPT("░",5-ROUND(BN37*5,0)))</f>
        <v/>
      </c>
      <c r="BD38" s="43">
        <f>IF(BO37="","",REPT("█",ROUND(BO37*5,0))&amp;REPT("░",5-ROUND(BO37*5,0)))</f>
        <v/>
      </c>
      <c r="BE38" s="43">
        <f>IF(BP37="","",REPT("█",ROUND(BP37*5,0))&amp;REPT("░",5-ROUND(BP37*5,0)))</f>
        <v/>
      </c>
      <c r="BF38" s="43">
        <f>IF(BQ37="","",REPT("█",ROUND(BQ37*5,0))&amp;REPT("░",5-ROUND(BQ37*5,0)))</f>
        <v/>
      </c>
      <c r="BG38" s="43">
        <f>IF(BR37="","",REPT("█",ROUND(BR37*5,0))&amp;REPT("░",5-ROUND(BR37*5,0)))</f>
        <v/>
      </c>
      <c r="BH38" s="43">
        <f>IF(BS37="","",REPT("█",ROUND(BS37*5,0))&amp;REPT("░",5-ROUND(BS37*5,0)))</f>
        <v/>
      </c>
      <c r="BI38" s="43">
        <f>IF(BT37="","",REPT("█",ROUND(BT37*5,0))&amp;REPT("░",5-ROUND(BT37*5,0)))</f>
        <v/>
      </c>
    </row>
    <row r="39">
      <c r="J39" s="37">
        <f>IF(30*Settings!$C$7&gt;=1440,"",MOD(ROUND((Settings!$C$6+30*Settings!$C$7/1440)*1440,0),1440)/1440)</f>
        <v/>
      </c>
      <c r="K39" s="8" t="n"/>
      <c r="L39" s="8" t="n"/>
      <c r="M39" s="8" t="n"/>
      <c r="N39" s="8" t="n"/>
      <c r="P39" s="37">
        <f>IF(30*Settings!$C$7&gt;=1440,"",MOD(ROUND((Settings!$C$6+30*Settings!$C$7/1440)*1440,0),1440)/1440)</f>
        <v/>
      </c>
      <c r="Q39" s="8" t="n"/>
      <c r="R39" s="8" t="n"/>
      <c r="S39" s="8" t="n"/>
      <c r="T39" s="8" t="n"/>
      <c r="V39" s="37">
        <f>IF(30*Settings!$C$7&gt;=1440,"",MOD(ROUND((Settings!$C$6+30*Settings!$C$7/1440)*1440,0),1440)/1440)</f>
        <v/>
      </c>
      <c r="W39" s="8" t="n"/>
      <c r="X39" s="8" t="n"/>
      <c r="Y39" s="8" t="n"/>
      <c r="Z39" s="8" t="n"/>
      <c r="AB39" s="37">
        <f>IF(30*Settings!$C$7&gt;=1440,"",MOD(ROUND((Settings!$C$6+30*Settings!$C$7/1440)*1440,0),1440)/1440)</f>
        <v/>
      </c>
      <c r="AC39" s="8" t="n"/>
      <c r="AD39" s="8" t="n"/>
      <c r="AE39" s="8" t="n"/>
      <c r="AF39" s="8" t="n"/>
      <c r="AH39" s="37">
        <f>IF(30*Settings!$C$7&gt;=1440,"",MOD(ROUND((Settings!$C$6+30*Settings!$C$7/1440)*1440,0),1440)/1440)</f>
        <v/>
      </c>
      <c r="AI39" s="8" t="n"/>
      <c r="AJ39" s="8" t="n"/>
      <c r="AK39" s="8" t="n"/>
      <c r="AL39" s="8" t="n"/>
      <c r="AN39" s="37">
        <f>IF(30*Settings!$C$7&gt;=1440,"",MOD(ROUND((Settings!$C$6+30*Settings!$C$7/1440)*1440,0),1440)/1440)</f>
        <v/>
      </c>
      <c r="AO39" s="8" t="n"/>
      <c r="AP39" s="8" t="n"/>
      <c r="AQ39" s="8" t="n"/>
      <c r="AR39" s="8" t="n"/>
      <c r="AT39" s="37">
        <f>IF(30*Settings!$C$7&gt;=1440,"",MOD(ROUND((Settings!$C$6+30*Settings!$C$7/1440)*1440,0),1440)/1440)</f>
        <v/>
      </c>
      <c r="AU39" s="8" t="n"/>
      <c r="AV39" s="8" t="n"/>
      <c r="AW39" s="8" t="n"/>
      <c r="AX39" s="8" t="n"/>
      <c r="BA39" s="40">
        <f>Settings!$B$65&amp;IF(Settings!$C$65&lt;&gt;""," ("&amp;Settings!$C$65&amp;")","")</f>
        <v/>
      </c>
      <c r="BB39" s="14" t="n"/>
      <c r="BC39" s="14" t="n"/>
      <c r="BD39" s="14" t="n"/>
      <c r="BE39" s="14" t="n"/>
      <c r="BF39" s="14" t="n"/>
      <c r="BG39" s="14" t="n"/>
      <c r="BH39" s="14" t="n"/>
      <c r="BI39" s="41">
        <f>IFERROR(AVERAGE(BB39:BH39),0)</f>
        <v/>
      </c>
      <c r="BJ39" s="41">
        <f>SUM(BB39:BH39)</f>
        <v/>
      </c>
      <c r="BM39">
        <f>IF(BB39="","",IFERROR(MIN(1,MAX(0,(BB39-Settings!$D$65)/(Settings!$E$65-Settings!$D$65))),0))</f>
        <v/>
      </c>
      <c r="BN39">
        <f>IF(BC39="","",IFERROR(MIN(1,MAX(0,(BC39-Settings!$D$65)/(Settings!$E$65-Settings!$D$65))),0))</f>
        <v/>
      </c>
      <c r="BO39">
        <f>IF(BD39="","",IFERROR(MIN(1,MAX(0,(BD39-Settings!$D$65)/(Settings!$E$65-Settings!$D$65))),0))</f>
        <v/>
      </c>
      <c r="BP39">
        <f>IF(BE39="","",IFERROR(MIN(1,MAX(0,(BE39-Settings!$D$65)/(Settings!$E$65-Settings!$D$65))),0))</f>
        <v/>
      </c>
      <c r="BQ39">
        <f>IF(BF39="","",IFERROR(MIN(1,MAX(0,(BF39-Settings!$D$65)/(Settings!$E$65-Settings!$D$65))),0))</f>
        <v/>
      </c>
      <c r="BR39">
        <f>IF(BG39="","",IFERROR(MIN(1,MAX(0,(BG39-Settings!$D$65)/(Settings!$E$65-Settings!$D$65))),0))</f>
        <v/>
      </c>
      <c r="BS39">
        <f>IF(BH39="","",IFERROR(MIN(1,MAX(0,(BH39-Settings!$D$65)/(Settings!$E$65-Settings!$D$65))),0))</f>
        <v/>
      </c>
      <c r="BT39">
        <f>IFERROR(MIN(1,MAX(0,(BI39-Settings!$D$65)/(Settings!$E$65-Settings!$D$65))),0)</f>
        <v/>
      </c>
    </row>
    <row r="40">
      <c r="J40" s="37">
        <f>IF(31*Settings!$C$7&gt;=1440,"",MOD(ROUND((Settings!$C$6+31*Settings!$C$7/1440)*1440,0),1440)/1440)</f>
        <v/>
      </c>
      <c r="K40" s="8" t="n"/>
      <c r="L40" s="8" t="n"/>
      <c r="M40" s="8" t="n"/>
      <c r="N40" s="8" t="n"/>
      <c r="P40" s="37">
        <f>IF(31*Settings!$C$7&gt;=1440,"",MOD(ROUND((Settings!$C$6+31*Settings!$C$7/1440)*1440,0),1440)/1440)</f>
        <v/>
      </c>
      <c r="Q40" s="8" t="n"/>
      <c r="R40" s="8" t="n"/>
      <c r="S40" s="8" t="n"/>
      <c r="T40" s="8" t="n"/>
      <c r="V40" s="37">
        <f>IF(31*Settings!$C$7&gt;=1440,"",MOD(ROUND((Settings!$C$6+31*Settings!$C$7/1440)*1440,0),1440)/1440)</f>
        <v/>
      </c>
      <c r="W40" s="8" t="n"/>
      <c r="X40" s="8" t="n"/>
      <c r="Y40" s="8" t="n"/>
      <c r="Z40" s="8" t="n"/>
      <c r="AB40" s="37">
        <f>IF(31*Settings!$C$7&gt;=1440,"",MOD(ROUND((Settings!$C$6+31*Settings!$C$7/1440)*1440,0),1440)/1440)</f>
        <v/>
      </c>
      <c r="AC40" s="8" t="n"/>
      <c r="AD40" s="8" t="n"/>
      <c r="AE40" s="8" t="n"/>
      <c r="AF40" s="8" t="n"/>
      <c r="AH40" s="37">
        <f>IF(31*Settings!$C$7&gt;=1440,"",MOD(ROUND((Settings!$C$6+31*Settings!$C$7/1440)*1440,0),1440)/1440)</f>
        <v/>
      </c>
      <c r="AI40" s="8" t="n"/>
      <c r="AJ40" s="8" t="n"/>
      <c r="AK40" s="8" t="n"/>
      <c r="AL40" s="8" t="n"/>
      <c r="AN40" s="37">
        <f>IF(31*Settings!$C$7&gt;=1440,"",MOD(ROUND((Settings!$C$6+31*Settings!$C$7/1440)*1440,0),1440)/1440)</f>
        <v/>
      </c>
      <c r="AO40" s="8" t="n"/>
      <c r="AP40" s="8" t="n"/>
      <c r="AQ40" s="8" t="n"/>
      <c r="AR40" s="8" t="n"/>
      <c r="AT40" s="37">
        <f>IF(31*Settings!$C$7&gt;=1440,"",MOD(ROUND((Settings!$C$6+31*Settings!$C$7/1440)*1440,0),1440)/1440)</f>
        <v/>
      </c>
      <c r="AU40" s="8" t="n"/>
      <c r="AV40" s="8" t="n"/>
      <c r="AW40" s="8" t="n"/>
      <c r="AX40" s="8" t="n"/>
      <c r="BA40" s="42" t="inlineStr">
        <is>
          <t>progress</t>
        </is>
      </c>
      <c r="BB40" s="43">
        <f>IF(BM39="","",REPT("█",ROUND(BM39*5,0))&amp;REPT("░",5-ROUND(BM39*5,0)))</f>
        <v/>
      </c>
      <c r="BC40" s="43">
        <f>IF(BN39="","",REPT("█",ROUND(BN39*5,0))&amp;REPT("░",5-ROUND(BN39*5,0)))</f>
        <v/>
      </c>
      <c r="BD40" s="43">
        <f>IF(BO39="","",REPT("█",ROUND(BO39*5,0))&amp;REPT("░",5-ROUND(BO39*5,0)))</f>
        <v/>
      </c>
      <c r="BE40" s="43">
        <f>IF(BP39="","",REPT("█",ROUND(BP39*5,0))&amp;REPT("░",5-ROUND(BP39*5,0)))</f>
        <v/>
      </c>
      <c r="BF40" s="43">
        <f>IF(BQ39="","",REPT("█",ROUND(BQ39*5,0))&amp;REPT("░",5-ROUND(BQ39*5,0)))</f>
        <v/>
      </c>
      <c r="BG40" s="43">
        <f>IF(BR39="","",REPT("█",ROUND(BR39*5,0))&amp;REPT("░",5-ROUND(BR39*5,0)))</f>
        <v/>
      </c>
      <c r="BH40" s="43">
        <f>IF(BS39="","",REPT("█",ROUND(BS39*5,0))&amp;REPT("░",5-ROUND(BS39*5,0)))</f>
        <v/>
      </c>
      <c r="BI40" s="43">
        <f>IF(BT39="","",REPT("█",ROUND(BT39*5,0))&amp;REPT("░",5-ROUND(BT39*5,0)))</f>
        <v/>
      </c>
    </row>
    <row r="41">
      <c r="J41" s="37">
        <f>IF(32*Settings!$C$7&gt;=1440,"",MOD(ROUND((Settings!$C$6+32*Settings!$C$7/1440)*1440,0),1440)/1440)</f>
        <v/>
      </c>
      <c r="K41" s="8" t="n"/>
      <c r="L41" s="8" t="n"/>
      <c r="M41" s="8" t="n"/>
      <c r="N41" s="8" t="n"/>
      <c r="P41" s="37">
        <f>IF(32*Settings!$C$7&gt;=1440,"",MOD(ROUND((Settings!$C$6+32*Settings!$C$7/1440)*1440,0),1440)/1440)</f>
        <v/>
      </c>
      <c r="Q41" s="8" t="n"/>
      <c r="R41" s="8" t="n"/>
      <c r="S41" s="8" t="n"/>
      <c r="T41" s="8" t="n"/>
      <c r="V41" s="37">
        <f>IF(32*Settings!$C$7&gt;=1440,"",MOD(ROUND((Settings!$C$6+32*Settings!$C$7/1440)*1440,0),1440)/1440)</f>
        <v/>
      </c>
      <c r="W41" s="8" t="n"/>
      <c r="X41" s="8" t="n"/>
      <c r="Y41" s="8" t="n"/>
      <c r="Z41" s="8" t="n"/>
      <c r="AB41" s="37">
        <f>IF(32*Settings!$C$7&gt;=1440,"",MOD(ROUND((Settings!$C$6+32*Settings!$C$7/1440)*1440,0),1440)/1440)</f>
        <v/>
      </c>
      <c r="AC41" s="8" t="n"/>
      <c r="AD41" s="8" t="n"/>
      <c r="AE41" s="8" t="n"/>
      <c r="AF41" s="8" t="n"/>
      <c r="AH41" s="37">
        <f>IF(32*Settings!$C$7&gt;=1440,"",MOD(ROUND((Settings!$C$6+32*Settings!$C$7/1440)*1440,0),1440)/1440)</f>
        <v/>
      </c>
      <c r="AI41" s="8" t="n"/>
      <c r="AJ41" s="8" t="n"/>
      <c r="AK41" s="8" t="n"/>
      <c r="AL41" s="8" t="n"/>
      <c r="AN41" s="37">
        <f>IF(32*Settings!$C$7&gt;=1440,"",MOD(ROUND((Settings!$C$6+32*Settings!$C$7/1440)*1440,0),1440)/1440)</f>
        <v/>
      </c>
      <c r="AO41" s="8" t="n"/>
      <c r="AP41" s="8" t="n"/>
      <c r="AQ41" s="8" t="n"/>
      <c r="AR41" s="8" t="n"/>
      <c r="AT41" s="37">
        <f>IF(32*Settings!$C$7&gt;=1440,"",MOD(ROUND((Settings!$C$6+32*Settings!$C$7/1440)*1440,0),1440)/1440)</f>
        <v/>
      </c>
      <c r="AU41" s="8" t="n"/>
      <c r="AV41" s="8" t="n"/>
      <c r="AW41" s="8" t="n"/>
      <c r="AX41" s="8" t="n"/>
    </row>
    <row r="42">
      <c r="J42" s="37">
        <f>IF(33*Settings!$C$7&gt;=1440,"",MOD(ROUND((Settings!$C$6+33*Settings!$C$7/1440)*1440,0),1440)/1440)</f>
        <v/>
      </c>
      <c r="K42" s="8" t="n"/>
      <c r="L42" s="8" t="n"/>
      <c r="M42" s="8" t="n"/>
      <c r="N42" s="8" t="n"/>
      <c r="P42" s="37">
        <f>IF(33*Settings!$C$7&gt;=1440,"",MOD(ROUND((Settings!$C$6+33*Settings!$C$7/1440)*1440,0),1440)/1440)</f>
        <v/>
      </c>
      <c r="Q42" s="8" t="n"/>
      <c r="R42" s="8" t="n"/>
      <c r="S42" s="8" t="n"/>
      <c r="T42" s="8" t="n"/>
      <c r="V42" s="37">
        <f>IF(33*Settings!$C$7&gt;=1440,"",MOD(ROUND((Settings!$C$6+33*Settings!$C$7/1440)*1440,0),1440)/1440)</f>
        <v/>
      </c>
      <c r="W42" s="8" t="n"/>
      <c r="X42" s="8" t="n"/>
      <c r="Y42" s="8" t="n"/>
      <c r="Z42" s="8" t="n"/>
      <c r="AB42" s="37">
        <f>IF(33*Settings!$C$7&gt;=1440,"",MOD(ROUND((Settings!$C$6+33*Settings!$C$7/1440)*1440,0),1440)/1440)</f>
        <v/>
      </c>
      <c r="AC42" s="8" t="n"/>
      <c r="AD42" s="8" t="n"/>
      <c r="AE42" s="8" t="n"/>
      <c r="AF42" s="8" t="n"/>
      <c r="AH42" s="37">
        <f>IF(33*Settings!$C$7&gt;=1440,"",MOD(ROUND((Settings!$C$6+33*Settings!$C$7/1440)*1440,0),1440)/1440)</f>
        <v/>
      </c>
      <c r="AI42" s="8" t="n"/>
      <c r="AJ42" s="8" t="n"/>
      <c r="AK42" s="8" t="n"/>
      <c r="AL42" s="8" t="n"/>
      <c r="AN42" s="37">
        <f>IF(33*Settings!$C$7&gt;=1440,"",MOD(ROUND((Settings!$C$6+33*Settings!$C$7/1440)*1440,0),1440)/1440)</f>
        <v/>
      </c>
      <c r="AO42" s="8" t="n"/>
      <c r="AP42" s="8" t="n"/>
      <c r="AQ42" s="8" t="n"/>
      <c r="AR42" s="8" t="n"/>
      <c r="AT42" s="37">
        <f>IF(33*Settings!$C$7&gt;=1440,"",MOD(ROUND((Settings!$C$6+33*Settings!$C$7/1440)*1440,0),1440)/1440)</f>
        <v/>
      </c>
      <c r="AU42" s="8" t="n"/>
      <c r="AV42" s="8" t="n"/>
      <c r="AW42" s="8" t="n"/>
      <c r="AX42" s="8" t="n"/>
    </row>
    <row r="43">
      <c r="J43" s="37">
        <f>IF(34*Settings!$C$7&gt;=1440,"",MOD(ROUND((Settings!$C$6+34*Settings!$C$7/1440)*1440,0),1440)/1440)</f>
        <v/>
      </c>
      <c r="K43" s="8" t="n"/>
      <c r="L43" s="8" t="n"/>
      <c r="M43" s="8" t="n"/>
      <c r="N43" s="8" t="n"/>
      <c r="P43" s="37">
        <f>IF(34*Settings!$C$7&gt;=1440,"",MOD(ROUND((Settings!$C$6+34*Settings!$C$7/1440)*1440,0),1440)/1440)</f>
        <v/>
      </c>
      <c r="Q43" s="8" t="n"/>
      <c r="R43" s="8" t="n"/>
      <c r="S43" s="8" t="n"/>
      <c r="T43" s="8" t="n"/>
      <c r="V43" s="37">
        <f>IF(34*Settings!$C$7&gt;=1440,"",MOD(ROUND((Settings!$C$6+34*Settings!$C$7/1440)*1440,0),1440)/1440)</f>
        <v/>
      </c>
      <c r="W43" s="8" t="n"/>
      <c r="X43" s="8" t="n"/>
      <c r="Y43" s="8" t="n"/>
      <c r="Z43" s="8" t="n"/>
      <c r="AB43" s="37">
        <f>IF(34*Settings!$C$7&gt;=1440,"",MOD(ROUND((Settings!$C$6+34*Settings!$C$7/1440)*1440,0),1440)/1440)</f>
        <v/>
      </c>
      <c r="AC43" s="8" t="n"/>
      <c r="AD43" s="8" t="n"/>
      <c r="AE43" s="8" t="n"/>
      <c r="AF43" s="8" t="n"/>
      <c r="AH43" s="37">
        <f>IF(34*Settings!$C$7&gt;=1440,"",MOD(ROUND((Settings!$C$6+34*Settings!$C$7/1440)*1440,0),1440)/1440)</f>
        <v/>
      </c>
      <c r="AI43" s="8" t="n"/>
      <c r="AJ43" s="8" t="n"/>
      <c r="AK43" s="8" t="n"/>
      <c r="AL43" s="8" t="n"/>
      <c r="AN43" s="37">
        <f>IF(34*Settings!$C$7&gt;=1440,"",MOD(ROUND((Settings!$C$6+34*Settings!$C$7/1440)*1440,0),1440)/1440)</f>
        <v/>
      </c>
      <c r="AO43" s="8" t="n"/>
      <c r="AP43" s="8" t="n"/>
      <c r="AQ43" s="8" t="n"/>
      <c r="AR43" s="8" t="n"/>
      <c r="AT43" s="37">
        <f>IF(34*Settings!$C$7&gt;=1440,"",MOD(ROUND((Settings!$C$6+34*Settings!$C$7/1440)*1440,0),1440)/1440)</f>
        <v/>
      </c>
      <c r="AU43" s="8" t="n"/>
      <c r="AV43" s="8" t="n"/>
      <c r="AW43" s="8" t="n"/>
      <c r="AX43" s="8" t="n"/>
    </row>
    <row r="44">
      <c r="J44" s="37">
        <f>IF(35*Settings!$C$7&gt;=1440,"",MOD(ROUND((Settings!$C$6+35*Settings!$C$7/1440)*1440,0),1440)/1440)</f>
        <v/>
      </c>
      <c r="K44" s="8" t="n"/>
      <c r="L44" s="8" t="n"/>
      <c r="M44" s="8" t="n"/>
      <c r="N44" s="8" t="n"/>
      <c r="P44" s="37">
        <f>IF(35*Settings!$C$7&gt;=1440,"",MOD(ROUND((Settings!$C$6+35*Settings!$C$7/1440)*1440,0),1440)/1440)</f>
        <v/>
      </c>
      <c r="Q44" s="8" t="n"/>
      <c r="R44" s="8" t="n"/>
      <c r="S44" s="8" t="n"/>
      <c r="T44" s="8" t="n"/>
      <c r="V44" s="37">
        <f>IF(35*Settings!$C$7&gt;=1440,"",MOD(ROUND((Settings!$C$6+35*Settings!$C$7/1440)*1440,0),1440)/1440)</f>
        <v/>
      </c>
      <c r="W44" s="8" t="n"/>
      <c r="X44" s="8" t="n"/>
      <c r="Y44" s="8" t="n"/>
      <c r="Z44" s="8" t="n"/>
      <c r="AB44" s="37">
        <f>IF(35*Settings!$C$7&gt;=1440,"",MOD(ROUND((Settings!$C$6+35*Settings!$C$7/1440)*1440,0),1440)/1440)</f>
        <v/>
      </c>
      <c r="AC44" s="8" t="n"/>
      <c r="AD44" s="8" t="n"/>
      <c r="AE44" s="8" t="n"/>
      <c r="AF44" s="8" t="n"/>
      <c r="AH44" s="37">
        <f>IF(35*Settings!$C$7&gt;=1440,"",MOD(ROUND((Settings!$C$6+35*Settings!$C$7/1440)*1440,0),1440)/1440)</f>
        <v/>
      </c>
      <c r="AI44" s="8" t="n"/>
      <c r="AJ44" s="8" t="n"/>
      <c r="AK44" s="8" t="n"/>
      <c r="AL44" s="8" t="n"/>
      <c r="AN44" s="37">
        <f>IF(35*Settings!$C$7&gt;=1440,"",MOD(ROUND((Settings!$C$6+35*Settings!$C$7/1440)*1440,0),1440)/1440)</f>
        <v/>
      </c>
      <c r="AO44" s="8" t="n"/>
      <c r="AP44" s="8" t="n"/>
      <c r="AQ44" s="8" t="n"/>
      <c r="AR44" s="8" t="n"/>
      <c r="AT44" s="37">
        <f>IF(35*Settings!$C$7&gt;=1440,"",MOD(ROUND((Settings!$C$6+35*Settings!$C$7/1440)*1440,0),1440)/1440)</f>
        <v/>
      </c>
      <c r="AU44" s="8" t="n"/>
      <c r="AV44" s="8" t="n"/>
      <c r="AW44" s="8" t="n"/>
      <c r="AX44" s="8" t="n"/>
    </row>
    <row r="46">
      <c r="J46" s="6">
        <f>IF(Settings!$C$95="",Settings!$B$95,Settings!$C$95)</f>
        <v/>
      </c>
      <c r="K46" s="6" t="n"/>
      <c r="L46" s="6" t="n"/>
      <c r="M46" s="6" t="n"/>
      <c r="N46" s="6" t="n"/>
      <c r="P46" s="6">
        <f>IF(Settings!$C$95="",Settings!$B$95,Settings!$C$95)</f>
        <v/>
      </c>
      <c r="Q46" s="6" t="n"/>
      <c r="R46" s="6" t="n"/>
      <c r="S46" s="6" t="n"/>
      <c r="T46" s="6" t="n"/>
      <c r="V46" s="6">
        <f>IF(Settings!$C$95="",Settings!$B$95,Settings!$C$95)</f>
        <v/>
      </c>
      <c r="W46" s="6" t="n"/>
      <c r="X46" s="6" t="n"/>
      <c r="Y46" s="6" t="n"/>
      <c r="Z46" s="6" t="n"/>
      <c r="AB46" s="6">
        <f>IF(Settings!$C$95="",Settings!$B$95,Settings!$C$95)</f>
        <v/>
      </c>
      <c r="AC46" s="6" t="n"/>
      <c r="AD46" s="6" t="n"/>
      <c r="AE46" s="6" t="n"/>
      <c r="AF46" s="6" t="n"/>
      <c r="AH46" s="6">
        <f>IF(Settings!$C$95="",Settings!$B$95,Settings!$C$95)</f>
        <v/>
      </c>
      <c r="AI46" s="6" t="n"/>
      <c r="AJ46" s="6" t="n"/>
      <c r="AK46" s="6" t="n"/>
      <c r="AL46" s="6" t="n"/>
      <c r="AN46" s="6">
        <f>IF(Settings!$C$95="",Settings!$B$95,Settings!$C$95)</f>
        <v/>
      </c>
      <c r="AO46" s="6" t="n"/>
      <c r="AP46" s="6" t="n"/>
      <c r="AQ46" s="6" t="n"/>
      <c r="AR46" s="6" t="n"/>
      <c r="AT46" s="6">
        <f>IF(Settings!$C$95="",Settings!$B$95,Settings!$C$95)</f>
        <v/>
      </c>
      <c r="AU46" s="6" t="n"/>
      <c r="AV46" s="6" t="n"/>
      <c r="AW46" s="6" t="n"/>
      <c r="AX46" s="6" t="n"/>
    </row>
    <row r="47">
      <c r="J47" s="14" t="b">
        <v>0</v>
      </c>
      <c r="K47" s="8" t="n"/>
      <c r="L47" s="8" t="n"/>
      <c r="M47" s="8" t="n"/>
      <c r="N47" s="8" t="n"/>
      <c r="P47" s="14" t="b">
        <v>0</v>
      </c>
      <c r="Q47" s="8" t="n"/>
      <c r="R47" s="8" t="n"/>
      <c r="S47" s="8" t="n"/>
      <c r="T47" s="8" t="n"/>
      <c r="V47" s="14" t="b">
        <v>0</v>
      </c>
      <c r="W47" s="8" t="n"/>
      <c r="X47" s="8" t="n"/>
      <c r="Y47" s="8" t="n"/>
      <c r="Z47" s="8" t="n"/>
      <c r="AB47" s="14" t="b">
        <v>0</v>
      </c>
      <c r="AC47" s="8" t="n"/>
      <c r="AD47" s="8" t="n"/>
      <c r="AE47" s="8" t="n"/>
      <c r="AF47" s="8" t="n"/>
      <c r="AH47" s="14" t="b">
        <v>0</v>
      </c>
      <c r="AI47" s="8" t="n"/>
      <c r="AJ47" s="8" t="n"/>
      <c r="AK47" s="8" t="n"/>
      <c r="AL47" s="8" t="n"/>
      <c r="AN47" s="14" t="b">
        <v>0</v>
      </c>
      <c r="AO47" s="8" t="n"/>
      <c r="AP47" s="8" t="n"/>
      <c r="AQ47" s="8" t="n"/>
      <c r="AR47" s="8" t="n"/>
      <c r="AT47" s="14" t="b">
        <v>0</v>
      </c>
      <c r="AU47" s="8" t="n"/>
      <c r="AV47" s="8" t="n"/>
      <c r="AW47" s="8" t="n"/>
      <c r="AX47" s="8" t="n"/>
    </row>
    <row r="48">
      <c r="J48" s="14" t="b">
        <v>0</v>
      </c>
      <c r="K48" s="8" t="n"/>
      <c r="L48" s="8" t="n"/>
      <c r="M48" s="8" t="n"/>
      <c r="N48" s="8" t="n"/>
      <c r="P48" s="14" t="b">
        <v>0</v>
      </c>
      <c r="Q48" s="8" t="n"/>
      <c r="R48" s="8" t="n"/>
      <c r="S48" s="8" t="n"/>
      <c r="T48" s="8" t="n"/>
      <c r="V48" s="14" t="b">
        <v>0</v>
      </c>
      <c r="W48" s="8" t="n"/>
      <c r="X48" s="8" t="n"/>
      <c r="Y48" s="8" t="n"/>
      <c r="Z48" s="8" t="n"/>
      <c r="AB48" s="14" t="b">
        <v>0</v>
      </c>
      <c r="AC48" s="8" t="n"/>
      <c r="AD48" s="8" t="n"/>
      <c r="AE48" s="8" t="n"/>
      <c r="AF48" s="8" t="n"/>
      <c r="AH48" s="14" t="b">
        <v>0</v>
      </c>
      <c r="AI48" s="8" t="n"/>
      <c r="AJ48" s="8" t="n"/>
      <c r="AK48" s="8" t="n"/>
      <c r="AL48" s="8" t="n"/>
      <c r="AN48" s="14" t="b">
        <v>0</v>
      </c>
      <c r="AO48" s="8" t="n"/>
      <c r="AP48" s="8" t="n"/>
      <c r="AQ48" s="8" t="n"/>
      <c r="AR48" s="8" t="n"/>
      <c r="AT48" s="14" t="b">
        <v>0</v>
      </c>
      <c r="AU48" s="8" t="n"/>
      <c r="AV48" s="8" t="n"/>
      <c r="AW48" s="8" t="n"/>
      <c r="AX48" s="8" t="n"/>
    </row>
    <row r="49">
      <c r="J49" s="14" t="b">
        <v>0</v>
      </c>
      <c r="K49" s="8" t="n"/>
      <c r="L49" s="8" t="n"/>
      <c r="M49" s="8" t="n"/>
      <c r="N49" s="8" t="n"/>
      <c r="P49" s="14" t="b">
        <v>0</v>
      </c>
      <c r="Q49" s="8" t="n"/>
      <c r="R49" s="8" t="n"/>
      <c r="S49" s="8" t="n"/>
      <c r="T49" s="8" t="n"/>
      <c r="V49" s="14" t="b">
        <v>0</v>
      </c>
      <c r="W49" s="8" t="n"/>
      <c r="X49" s="8" t="n"/>
      <c r="Y49" s="8" t="n"/>
      <c r="Z49" s="8" t="n"/>
      <c r="AB49" s="14" t="b">
        <v>0</v>
      </c>
      <c r="AC49" s="8" t="n"/>
      <c r="AD49" s="8" t="n"/>
      <c r="AE49" s="8" t="n"/>
      <c r="AF49" s="8" t="n"/>
      <c r="AH49" s="14" t="b">
        <v>0</v>
      </c>
      <c r="AI49" s="8" t="n"/>
      <c r="AJ49" s="8" t="n"/>
      <c r="AK49" s="8" t="n"/>
      <c r="AL49" s="8" t="n"/>
      <c r="AN49" s="14" t="b">
        <v>0</v>
      </c>
      <c r="AO49" s="8" t="n"/>
      <c r="AP49" s="8" t="n"/>
      <c r="AQ49" s="8" t="n"/>
      <c r="AR49" s="8" t="n"/>
      <c r="AT49" s="14" t="b">
        <v>0</v>
      </c>
      <c r="AU49" s="8" t="n"/>
      <c r="AV49" s="8" t="n"/>
      <c r="AW49" s="8" t="n"/>
      <c r="AX49" s="8" t="n"/>
    </row>
    <row r="50">
      <c r="J50" s="14" t="b">
        <v>0</v>
      </c>
      <c r="K50" s="8" t="n"/>
      <c r="L50" s="8" t="n"/>
      <c r="M50" s="8" t="n"/>
      <c r="N50" s="8" t="n"/>
      <c r="P50" s="14" t="b">
        <v>0</v>
      </c>
      <c r="Q50" s="8" t="n"/>
      <c r="R50" s="8" t="n"/>
      <c r="S50" s="8" t="n"/>
      <c r="T50" s="8" t="n"/>
      <c r="V50" s="14" t="b">
        <v>0</v>
      </c>
      <c r="W50" s="8" t="n"/>
      <c r="X50" s="8" t="n"/>
      <c r="Y50" s="8" t="n"/>
      <c r="Z50" s="8" t="n"/>
      <c r="AB50" s="14" t="b">
        <v>0</v>
      </c>
      <c r="AC50" s="8" t="n"/>
      <c r="AD50" s="8" t="n"/>
      <c r="AE50" s="8" t="n"/>
      <c r="AF50" s="8" t="n"/>
      <c r="AH50" s="14" t="b">
        <v>0</v>
      </c>
      <c r="AI50" s="8" t="n"/>
      <c r="AJ50" s="8" t="n"/>
      <c r="AK50" s="8" t="n"/>
      <c r="AL50" s="8" t="n"/>
      <c r="AN50" s="14" t="b">
        <v>0</v>
      </c>
      <c r="AO50" s="8" t="n"/>
      <c r="AP50" s="8" t="n"/>
      <c r="AQ50" s="8" t="n"/>
      <c r="AR50" s="8" t="n"/>
      <c r="AT50" s="14" t="b">
        <v>0</v>
      </c>
      <c r="AU50" s="8" t="n"/>
      <c r="AV50" s="8" t="n"/>
      <c r="AW50" s="8" t="n"/>
      <c r="AX50" s="8" t="n"/>
    </row>
    <row r="51">
      <c r="J51" s="14" t="b">
        <v>0</v>
      </c>
      <c r="K51" s="8" t="n"/>
      <c r="L51" s="8" t="n"/>
      <c r="M51" s="8" t="n"/>
      <c r="N51" s="8" t="n"/>
      <c r="P51" s="14" t="b">
        <v>0</v>
      </c>
      <c r="Q51" s="8" t="n"/>
      <c r="R51" s="8" t="n"/>
      <c r="S51" s="8" t="n"/>
      <c r="T51" s="8" t="n"/>
      <c r="V51" s="14" t="b">
        <v>0</v>
      </c>
      <c r="W51" s="8" t="n"/>
      <c r="X51" s="8" t="n"/>
      <c r="Y51" s="8" t="n"/>
      <c r="Z51" s="8" t="n"/>
      <c r="AB51" s="14" t="b">
        <v>0</v>
      </c>
      <c r="AC51" s="8" t="n"/>
      <c r="AD51" s="8" t="n"/>
      <c r="AE51" s="8" t="n"/>
      <c r="AF51" s="8" t="n"/>
      <c r="AH51" s="14" t="b">
        <v>0</v>
      </c>
      <c r="AI51" s="8" t="n"/>
      <c r="AJ51" s="8" t="n"/>
      <c r="AK51" s="8" t="n"/>
      <c r="AL51" s="8" t="n"/>
      <c r="AN51" s="14" t="b">
        <v>0</v>
      </c>
      <c r="AO51" s="8" t="n"/>
      <c r="AP51" s="8" t="n"/>
      <c r="AQ51" s="8" t="n"/>
      <c r="AR51" s="8" t="n"/>
      <c r="AT51" s="14" t="b">
        <v>0</v>
      </c>
      <c r="AU51" s="8" t="n"/>
      <c r="AV51" s="8" t="n"/>
      <c r="AW51" s="8" t="n"/>
      <c r="AX51" s="8" t="n"/>
    </row>
    <row r="52">
      <c r="J52" s="14" t="b">
        <v>0</v>
      </c>
      <c r="K52" s="8" t="n"/>
      <c r="L52" s="8" t="n"/>
      <c r="M52" s="8" t="n"/>
      <c r="N52" s="8" t="n"/>
      <c r="P52" s="14" t="b">
        <v>0</v>
      </c>
      <c r="Q52" s="8" t="n"/>
      <c r="R52" s="8" t="n"/>
      <c r="S52" s="8" t="n"/>
      <c r="T52" s="8" t="n"/>
      <c r="V52" s="14" t="b">
        <v>0</v>
      </c>
      <c r="W52" s="8" t="n"/>
      <c r="X52" s="8" t="n"/>
      <c r="Y52" s="8" t="n"/>
      <c r="Z52" s="8" t="n"/>
      <c r="AB52" s="14" t="b">
        <v>0</v>
      </c>
      <c r="AC52" s="8" t="n"/>
      <c r="AD52" s="8" t="n"/>
      <c r="AE52" s="8" t="n"/>
      <c r="AF52" s="8" t="n"/>
      <c r="AH52" s="14" t="b">
        <v>0</v>
      </c>
      <c r="AI52" s="8" t="n"/>
      <c r="AJ52" s="8" t="n"/>
      <c r="AK52" s="8" t="n"/>
      <c r="AL52" s="8" t="n"/>
      <c r="AN52" s="14" t="b">
        <v>0</v>
      </c>
      <c r="AO52" s="8" t="n"/>
      <c r="AP52" s="8" t="n"/>
      <c r="AQ52" s="8" t="n"/>
      <c r="AR52" s="8" t="n"/>
      <c r="AT52" s="14" t="b">
        <v>0</v>
      </c>
      <c r="AU52" s="8" t="n"/>
      <c r="AV52" s="8" t="n"/>
      <c r="AW52" s="8" t="n"/>
      <c r="AX52" s="8" t="n"/>
    </row>
    <row r="53">
      <c r="J53" s="14" t="b">
        <v>0</v>
      </c>
      <c r="K53" s="8" t="n"/>
      <c r="L53" s="8" t="n"/>
      <c r="M53" s="8" t="n"/>
      <c r="N53" s="8" t="n"/>
      <c r="P53" s="14" t="b">
        <v>0</v>
      </c>
      <c r="Q53" s="8" t="n"/>
      <c r="R53" s="8" t="n"/>
      <c r="S53" s="8" t="n"/>
      <c r="T53" s="8" t="n"/>
      <c r="V53" s="14" t="b">
        <v>0</v>
      </c>
      <c r="W53" s="8" t="n"/>
      <c r="X53" s="8" t="n"/>
      <c r="Y53" s="8" t="n"/>
      <c r="Z53" s="8" t="n"/>
      <c r="AB53" s="14" t="b">
        <v>0</v>
      </c>
      <c r="AC53" s="8" t="n"/>
      <c r="AD53" s="8" t="n"/>
      <c r="AE53" s="8" t="n"/>
      <c r="AF53" s="8" t="n"/>
      <c r="AH53" s="14" t="b">
        <v>0</v>
      </c>
      <c r="AI53" s="8" t="n"/>
      <c r="AJ53" s="8" t="n"/>
      <c r="AK53" s="8" t="n"/>
      <c r="AL53" s="8" t="n"/>
      <c r="AN53" s="14" t="b">
        <v>0</v>
      </c>
      <c r="AO53" s="8" t="n"/>
      <c r="AP53" s="8" t="n"/>
      <c r="AQ53" s="8" t="n"/>
      <c r="AR53" s="8" t="n"/>
      <c r="AT53" s="14" t="b">
        <v>0</v>
      </c>
      <c r="AU53" s="8" t="n"/>
      <c r="AV53" s="8" t="n"/>
      <c r="AW53" s="8" t="n"/>
      <c r="AX53" s="8" t="n"/>
    </row>
    <row r="54">
      <c r="J54" s="14" t="b">
        <v>0</v>
      </c>
      <c r="K54" s="8" t="n"/>
      <c r="L54" s="8" t="n"/>
      <c r="M54" s="8" t="n"/>
      <c r="N54" s="8" t="n"/>
      <c r="P54" s="14" t="b">
        <v>0</v>
      </c>
      <c r="Q54" s="8" t="n"/>
      <c r="R54" s="8" t="n"/>
      <c r="S54" s="8" t="n"/>
      <c r="T54" s="8" t="n"/>
      <c r="V54" s="14" t="b">
        <v>0</v>
      </c>
      <c r="W54" s="8" t="n"/>
      <c r="X54" s="8" t="n"/>
      <c r="Y54" s="8" t="n"/>
      <c r="Z54" s="8" t="n"/>
      <c r="AB54" s="14" t="b">
        <v>0</v>
      </c>
      <c r="AC54" s="8" t="n"/>
      <c r="AD54" s="8" t="n"/>
      <c r="AE54" s="8" t="n"/>
      <c r="AF54" s="8" t="n"/>
      <c r="AH54" s="14" t="b">
        <v>0</v>
      </c>
      <c r="AI54" s="8" t="n"/>
      <c r="AJ54" s="8" t="n"/>
      <c r="AK54" s="8" t="n"/>
      <c r="AL54" s="8" t="n"/>
      <c r="AN54" s="14" t="b">
        <v>0</v>
      </c>
      <c r="AO54" s="8" t="n"/>
      <c r="AP54" s="8" t="n"/>
      <c r="AQ54" s="8" t="n"/>
      <c r="AR54" s="8" t="n"/>
      <c r="AT54" s="14" t="b">
        <v>0</v>
      </c>
      <c r="AU54" s="8" t="n"/>
      <c r="AV54" s="8" t="n"/>
      <c r="AW54" s="8" t="n"/>
      <c r="AX54" s="8" t="n"/>
    </row>
    <row r="55">
      <c r="J55" s="14" t="b">
        <v>0</v>
      </c>
      <c r="K55" s="8" t="n"/>
      <c r="L55" s="8" t="n"/>
      <c r="M55" s="8" t="n"/>
      <c r="N55" s="8" t="n"/>
      <c r="P55" s="14" t="b">
        <v>0</v>
      </c>
      <c r="Q55" s="8" t="n"/>
      <c r="R55" s="8" t="n"/>
      <c r="S55" s="8" t="n"/>
      <c r="T55" s="8" t="n"/>
      <c r="V55" s="14" t="b">
        <v>0</v>
      </c>
      <c r="W55" s="8" t="n"/>
      <c r="X55" s="8" t="n"/>
      <c r="Y55" s="8" t="n"/>
      <c r="Z55" s="8" t="n"/>
      <c r="AB55" s="14" t="b">
        <v>0</v>
      </c>
      <c r="AC55" s="8" t="n"/>
      <c r="AD55" s="8" t="n"/>
      <c r="AE55" s="8" t="n"/>
      <c r="AF55" s="8" t="n"/>
      <c r="AH55" s="14" t="b">
        <v>0</v>
      </c>
      <c r="AI55" s="8" t="n"/>
      <c r="AJ55" s="8" t="n"/>
      <c r="AK55" s="8" t="n"/>
      <c r="AL55" s="8" t="n"/>
      <c r="AN55" s="14" t="b">
        <v>0</v>
      </c>
      <c r="AO55" s="8" t="n"/>
      <c r="AP55" s="8" t="n"/>
      <c r="AQ55" s="8" t="n"/>
      <c r="AR55" s="8" t="n"/>
      <c r="AT55" s="14" t="b">
        <v>0</v>
      </c>
      <c r="AU55" s="8" t="n"/>
      <c r="AV55" s="8" t="n"/>
      <c r="AW55" s="8" t="n"/>
      <c r="AX55" s="8" t="n"/>
    </row>
    <row r="56">
      <c r="J56" s="14" t="b">
        <v>0</v>
      </c>
      <c r="K56" s="8" t="n"/>
      <c r="L56" s="8" t="n"/>
      <c r="M56" s="8" t="n"/>
      <c r="N56" s="8" t="n"/>
      <c r="P56" s="14" t="b">
        <v>0</v>
      </c>
      <c r="Q56" s="8" t="n"/>
      <c r="R56" s="8" t="n"/>
      <c r="S56" s="8" t="n"/>
      <c r="T56" s="8" t="n"/>
      <c r="V56" s="14" t="b">
        <v>0</v>
      </c>
      <c r="W56" s="8" t="n"/>
      <c r="X56" s="8" t="n"/>
      <c r="Y56" s="8" t="n"/>
      <c r="Z56" s="8" t="n"/>
      <c r="AB56" s="14" t="b">
        <v>0</v>
      </c>
      <c r="AC56" s="8" t="n"/>
      <c r="AD56" s="8" t="n"/>
      <c r="AE56" s="8" t="n"/>
      <c r="AF56" s="8" t="n"/>
      <c r="AH56" s="14" t="b">
        <v>0</v>
      </c>
      <c r="AI56" s="8" t="n"/>
      <c r="AJ56" s="8" t="n"/>
      <c r="AK56" s="8" t="n"/>
      <c r="AL56" s="8" t="n"/>
      <c r="AN56" s="14" t="b">
        <v>0</v>
      </c>
      <c r="AO56" s="8" t="n"/>
      <c r="AP56" s="8" t="n"/>
      <c r="AQ56" s="8" t="n"/>
      <c r="AR56" s="8" t="n"/>
      <c r="AT56" s="14" t="b">
        <v>0</v>
      </c>
      <c r="AU56" s="8" t="n"/>
      <c r="AV56" s="8" t="n"/>
      <c r="AW56" s="8" t="n"/>
      <c r="AX56" s="8" t="n"/>
    </row>
    <row r="58">
      <c r="J58" s="6">
        <f>IF(Settings!$C$99="",Settings!$B$99,Settings!$C$99)</f>
        <v/>
      </c>
      <c r="K58" s="6" t="n"/>
      <c r="L58" s="6" t="n"/>
      <c r="M58" s="6" t="n"/>
      <c r="N58" s="6" t="n"/>
      <c r="P58" s="6">
        <f>IF(Settings!$C$99="",Settings!$B$99,Settings!$C$99)</f>
        <v/>
      </c>
      <c r="Q58" s="6" t="n"/>
      <c r="R58" s="6" t="n"/>
      <c r="S58" s="6" t="n"/>
      <c r="T58" s="6" t="n"/>
      <c r="V58" s="6">
        <f>IF(Settings!$C$99="",Settings!$B$99,Settings!$C$99)</f>
        <v/>
      </c>
      <c r="W58" s="6" t="n"/>
      <c r="X58" s="6" t="n"/>
      <c r="Y58" s="6" t="n"/>
      <c r="Z58" s="6" t="n"/>
      <c r="AB58" s="6">
        <f>IF(Settings!$C$99="",Settings!$B$99,Settings!$C$99)</f>
        <v/>
      </c>
      <c r="AC58" s="6" t="n"/>
      <c r="AD58" s="6" t="n"/>
      <c r="AE58" s="6" t="n"/>
      <c r="AF58" s="6" t="n"/>
      <c r="AH58" s="6">
        <f>IF(Settings!$C$99="",Settings!$B$99,Settings!$C$99)</f>
        <v/>
      </c>
      <c r="AI58" s="6" t="n"/>
      <c r="AJ58" s="6" t="n"/>
      <c r="AK58" s="6" t="n"/>
      <c r="AL58" s="6" t="n"/>
      <c r="AN58" s="6">
        <f>IF(Settings!$C$99="",Settings!$B$99,Settings!$C$99)</f>
        <v/>
      </c>
      <c r="AO58" s="6" t="n"/>
      <c r="AP58" s="6" t="n"/>
      <c r="AQ58" s="6" t="n"/>
      <c r="AR58" s="6" t="n"/>
      <c r="AT58" s="6">
        <f>IF(Settings!$C$99="",Settings!$B$99,Settings!$C$99)</f>
        <v/>
      </c>
      <c r="AU58" s="6" t="n"/>
      <c r="AV58" s="6" t="n"/>
      <c r="AW58" s="6" t="n"/>
      <c r="AX58" s="6" t="n"/>
    </row>
    <row r="59">
      <c r="J59" s="8" t="n"/>
      <c r="K59" s="8" t="n"/>
      <c r="L59" s="8" t="n"/>
      <c r="M59" s="8" t="n"/>
      <c r="N59" s="8" t="n"/>
      <c r="P59" s="8" t="n"/>
      <c r="Q59" s="8" t="n"/>
      <c r="R59" s="8" t="n"/>
      <c r="S59" s="8" t="n"/>
      <c r="T59" s="8" t="n"/>
      <c r="V59" s="8" t="n"/>
      <c r="W59" s="8" t="n"/>
      <c r="X59" s="8" t="n"/>
      <c r="Y59" s="8" t="n"/>
      <c r="Z59" s="8" t="n"/>
      <c r="AB59" s="8" t="n"/>
      <c r="AC59" s="8" t="n"/>
      <c r="AD59" s="8" t="n"/>
      <c r="AE59" s="8" t="n"/>
      <c r="AF59" s="8" t="n"/>
      <c r="AH59" s="8" t="n"/>
      <c r="AI59" s="8" t="n"/>
      <c r="AJ59" s="8" t="n"/>
      <c r="AK59" s="8" t="n"/>
      <c r="AL59" s="8" t="n"/>
      <c r="AN59" s="8" t="n"/>
      <c r="AO59" s="8" t="n"/>
      <c r="AP59" s="8" t="n"/>
      <c r="AQ59" s="8" t="n"/>
      <c r="AR59" s="8" t="n"/>
      <c r="AT59" s="8" t="n"/>
      <c r="AU59" s="8" t="n"/>
      <c r="AV59" s="8" t="n"/>
      <c r="AW59" s="8" t="n"/>
      <c r="AX59" s="8" t="n"/>
    </row>
    <row r="60">
      <c r="J60" s="8" t="n"/>
      <c r="K60" s="8" t="n"/>
      <c r="L60" s="8" t="n"/>
      <c r="M60" s="8" t="n"/>
      <c r="N60" s="8" t="n"/>
      <c r="P60" s="8" t="n"/>
      <c r="Q60" s="8" t="n"/>
      <c r="R60" s="8" t="n"/>
      <c r="S60" s="8" t="n"/>
      <c r="T60" s="8" t="n"/>
      <c r="V60" s="8" t="n"/>
      <c r="W60" s="8" t="n"/>
      <c r="X60" s="8" t="n"/>
      <c r="Y60" s="8" t="n"/>
      <c r="Z60" s="8" t="n"/>
      <c r="AB60" s="8" t="n"/>
      <c r="AC60" s="8" t="n"/>
      <c r="AD60" s="8" t="n"/>
      <c r="AE60" s="8" t="n"/>
      <c r="AF60" s="8" t="n"/>
      <c r="AH60" s="8" t="n"/>
      <c r="AI60" s="8" t="n"/>
      <c r="AJ60" s="8" t="n"/>
      <c r="AK60" s="8" t="n"/>
      <c r="AL60" s="8" t="n"/>
      <c r="AN60" s="8" t="n"/>
      <c r="AO60" s="8" t="n"/>
      <c r="AP60" s="8" t="n"/>
      <c r="AQ60" s="8" t="n"/>
      <c r="AR60" s="8" t="n"/>
      <c r="AT60" s="8" t="n"/>
      <c r="AU60" s="8" t="n"/>
      <c r="AV60" s="8" t="n"/>
      <c r="AW60" s="8" t="n"/>
      <c r="AX60" s="8" t="n"/>
    </row>
    <row r="61">
      <c r="J61" s="8" t="n"/>
      <c r="K61" s="8" t="n"/>
      <c r="L61" s="8" t="n"/>
      <c r="M61" s="8" t="n"/>
      <c r="N61" s="8" t="n"/>
      <c r="P61" s="8" t="n"/>
      <c r="Q61" s="8" t="n"/>
      <c r="R61" s="8" t="n"/>
      <c r="S61" s="8" t="n"/>
      <c r="T61" s="8" t="n"/>
      <c r="V61" s="8" t="n"/>
      <c r="W61" s="8" t="n"/>
      <c r="X61" s="8" t="n"/>
      <c r="Y61" s="8" t="n"/>
      <c r="Z61" s="8" t="n"/>
      <c r="AB61" s="8" t="n"/>
      <c r="AC61" s="8" t="n"/>
      <c r="AD61" s="8" t="n"/>
      <c r="AE61" s="8" t="n"/>
      <c r="AF61" s="8" t="n"/>
      <c r="AH61" s="8" t="n"/>
      <c r="AI61" s="8" t="n"/>
      <c r="AJ61" s="8" t="n"/>
      <c r="AK61" s="8" t="n"/>
      <c r="AL61" s="8" t="n"/>
      <c r="AN61" s="8" t="n"/>
      <c r="AO61" s="8" t="n"/>
      <c r="AP61" s="8" t="n"/>
      <c r="AQ61" s="8" t="n"/>
      <c r="AR61" s="8" t="n"/>
      <c r="AT61" s="8" t="n"/>
      <c r="AU61" s="8" t="n"/>
      <c r="AV61" s="8" t="n"/>
      <c r="AW61" s="8" t="n"/>
      <c r="AX61" s="8" t="n"/>
    </row>
    <row r="62">
      <c r="J62" s="8" t="n"/>
      <c r="K62" s="8" t="n"/>
      <c r="L62" s="8" t="n"/>
      <c r="M62" s="8" t="n"/>
      <c r="N62" s="8" t="n"/>
      <c r="P62" s="8" t="n"/>
      <c r="Q62" s="8" t="n"/>
      <c r="R62" s="8" t="n"/>
      <c r="S62" s="8" t="n"/>
      <c r="T62" s="8" t="n"/>
      <c r="V62" s="8" t="n"/>
      <c r="W62" s="8" t="n"/>
      <c r="X62" s="8" t="n"/>
      <c r="Y62" s="8" t="n"/>
      <c r="Z62" s="8" t="n"/>
      <c r="AB62" s="8" t="n"/>
      <c r="AC62" s="8" t="n"/>
      <c r="AD62" s="8" t="n"/>
      <c r="AE62" s="8" t="n"/>
      <c r="AF62" s="8" t="n"/>
      <c r="AH62" s="8" t="n"/>
      <c r="AI62" s="8" t="n"/>
      <c r="AJ62" s="8" t="n"/>
      <c r="AK62" s="8" t="n"/>
      <c r="AL62" s="8" t="n"/>
      <c r="AN62" s="8" t="n"/>
      <c r="AO62" s="8" t="n"/>
      <c r="AP62" s="8" t="n"/>
      <c r="AQ62" s="8" t="n"/>
      <c r="AR62" s="8" t="n"/>
      <c r="AT62" s="8" t="n"/>
      <c r="AU62" s="8" t="n"/>
      <c r="AV62" s="8" t="n"/>
      <c r="AW62" s="8" t="n"/>
      <c r="AX62" s="8" t="n"/>
    </row>
    <row r="63">
      <c r="J63" s="8" t="n"/>
      <c r="K63" s="8" t="n"/>
      <c r="L63" s="8" t="n"/>
      <c r="M63" s="8" t="n"/>
      <c r="N63" s="8" t="n"/>
      <c r="P63" s="8" t="n"/>
      <c r="Q63" s="8" t="n"/>
      <c r="R63" s="8" t="n"/>
      <c r="S63" s="8" t="n"/>
      <c r="T63" s="8" t="n"/>
      <c r="V63" s="8" t="n"/>
      <c r="W63" s="8" t="n"/>
      <c r="X63" s="8" t="n"/>
      <c r="Y63" s="8" t="n"/>
      <c r="Z63" s="8" t="n"/>
      <c r="AB63" s="8" t="n"/>
      <c r="AC63" s="8" t="n"/>
      <c r="AD63" s="8" t="n"/>
      <c r="AE63" s="8" t="n"/>
      <c r="AF63" s="8" t="n"/>
      <c r="AH63" s="8" t="n"/>
      <c r="AI63" s="8" t="n"/>
      <c r="AJ63" s="8" t="n"/>
      <c r="AK63" s="8" t="n"/>
      <c r="AL63" s="8" t="n"/>
      <c r="AN63" s="8" t="n"/>
      <c r="AO63" s="8" t="n"/>
      <c r="AP63" s="8" t="n"/>
      <c r="AQ63" s="8" t="n"/>
      <c r="AR63" s="8" t="n"/>
      <c r="AT63" s="8" t="n"/>
      <c r="AU63" s="8" t="n"/>
      <c r="AV63" s="8" t="n"/>
      <c r="AW63" s="8" t="n"/>
      <c r="AX63" s="8" t="n"/>
    </row>
    <row r="65">
      <c r="J65" s="6">
        <f>IF(Settings!$C$97="",Settings!$B$97,Settings!$C$97)</f>
        <v/>
      </c>
      <c r="K65" s="6" t="n"/>
      <c r="L65" s="6" t="n"/>
      <c r="M65" s="6" t="n"/>
      <c r="N65" s="6" t="n"/>
      <c r="P65" s="6">
        <f>IF(Settings!$C$97="",Settings!$B$97,Settings!$C$97)</f>
        <v/>
      </c>
      <c r="Q65" s="6" t="n"/>
      <c r="R65" s="6" t="n"/>
      <c r="S65" s="6" t="n"/>
      <c r="T65" s="6" t="n"/>
      <c r="V65" s="6">
        <f>IF(Settings!$C$97="",Settings!$B$97,Settings!$C$97)</f>
        <v/>
      </c>
      <c r="W65" s="6" t="n"/>
      <c r="X65" s="6" t="n"/>
      <c r="Y65" s="6" t="n"/>
      <c r="Z65" s="6" t="n"/>
      <c r="AB65" s="6">
        <f>IF(Settings!$C$97="",Settings!$B$97,Settings!$C$97)</f>
        <v/>
      </c>
      <c r="AC65" s="6" t="n"/>
      <c r="AD65" s="6" t="n"/>
      <c r="AE65" s="6" t="n"/>
      <c r="AF65" s="6" t="n"/>
      <c r="AH65" s="6">
        <f>IF(Settings!$C$97="",Settings!$B$97,Settings!$C$97)</f>
        <v/>
      </c>
      <c r="AI65" s="6" t="n"/>
      <c r="AJ65" s="6" t="n"/>
      <c r="AK65" s="6" t="n"/>
      <c r="AL65" s="6" t="n"/>
      <c r="AN65" s="6">
        <f>IF(Settings!$C$97="",Settings!$B$97,Settings!$C$97)</f>
        <v/>
      </c>
      <c r="AO65" s="6" t="n"/>
      <c r="AP65" s="6" t="n"/>
      <c r="AQ65" s="6" t="n"/>
      <c r="AR65" s="6" t="n"/>
      <c r="AT65" s="6">
        <f>IF(Settings!$C$97="",Settings!$B$97,Settings!$C$97)</f>
        <v/>
      </c>
      <c r="AU65" s="6" t="n"/>
      <c r="AV65" s="6" t="n"/>
      <c r="AW65" s="6" t="n"/>
      <c r="AX65" s="6" t="n"/>
    </row>
    <row r="66">
      <c r="J66" s="8" t="n"/>
      <c r="K66" s="8" t="n"/>
      <c r="L66" s="8" t="n"/>
      <c r="M66" s="8" t="n"/>
      <c r="N66" s="8" t="n"/>
      <c r="P66" s="8" t="n"/>
      <c r="Q66" s="8" t="n"/>
      <c r="R66" s="8" t="n"/>
      <c r="S66" s="8" t="n"/>
      <c r="T66" s="8" t="n"/>
      <c r="V66" s="8" t="n"/>
      <c r="W66" s="8" t="n"/>
      <c r="X66" s="8" t="n"/>
      <c r="Y66" s="8" t="n"/>
      <c r="Z66" s="8" t="n"/>
      <c r="AB66" s="8" t="n"/>
      <c r="AC66" s="8" t="n"/>
      <c r="AD66" s="8" t="n"/>
      <c r="AE66" s="8" t="n"/>
      <c r="AF66" s="8" t="n"/>
      <c r="AH66" s="8" t="n"/>
      <c r="AI66" s="8" t="n"/>
      <c r="AJ66" s="8" t="n"/>
      <c r="AK66" s="8" t="n"/>
      <c r="AL66" s="8" t="n"/>
      <c r="AN66" s="8" t="n"/>
      <c r="AO66" s="8" t="n"/>
      <c r="AP66" s="8" t="n"/>
      <c r="AQ66" s="8" t="n"/>
      <c r="AR66" s="8" t="n"/>
      <c r="AT66" s="8" t="n"/>
      <c r="AU66" s="8" t="n"/>
      <c r="AV66" s="8" t="n"/>
      <c r="AW66" s="8" t="n"/>
      <c r="AX66" s="8" t="n"/>
    </row>
    <row r="67">
      <c r="J67" s="8" t="n"/>
      <c r="K67" s="8" t="n"/>
      <c r="L67" s="8" t="n"/>
      <c r="M67" s="8" t="n"/>
      <c r="N67" s="8" t="n"/>
      <c r="P67" s="8" t="n"/>
      <c r="Q67" s="8" t="n"/>
      <c r="R67" s="8" t="n"/>
      <c r="S67" s="8" t="n"/>
      <c r="T67" s="8" t="n"/>
      <c r="V67" s="8" t="n"/>
      <c r="W67" s="8" t="n"/>
      <c r="X67" s="8" t="n"/>
      <c r="Y67" s="8" t="n"/>
      <c r="Z67" s="8" t="n"/>
      <c r="AB67" s="8" t="n"/>
      <c r="AC67" s="8" t="n"/>
      <c r="AD67" s="8" t="n"/>
      <c r="AE67" s="8" t="n"/>
      <c r="AF67" s="8" t="n"/>
      <c r="AH67" s="8" t="n"/>
      <c r="AI67" s="8" t="n"/>
      <c r="AJ67" s="8" t="n"/>
      <c r="AK67" s="8" t="n"/>
      <c r="AL67" s="8" t="n"/>
      <c r="AN67" s="8" t="n"/>
      <c r="AO67" s="8" t="n"/>
      <c r="AP67" s="8" t="n"/>
      <c r="AQ67" s="8" t="n"/>
      <c r="AR67" s="8" t="n"/>
      <c r="AT67" s="8" t="n"/>
      <c r="AU67" s="8" t="n"/>
      <c r="AV67" s="8" t="n"/>
      <c r="AW67" s="8" t="n"/>
      <c r="AX67" s="8" t="n"/>
    </row>
    <row r="68">
      <c r="J68" s="8" t="n"/>
      <c r="K68" s="8" t="n"/>
      <c r="L68" s="8" t="n"/>
      <c r="M68" s="8" t="n"/>
      <c r="N68" s="8" t="n"/>
      <c r="P68" s="8" t="n"/>
      <c r="Q68" s="8" t="n"/>
      <c r="R68" s="8" t="n"/>
      <c r="S68" s="8" t="n"/>
      <c r="T68" s="8" t="n"/>
      <c r="V68" s="8" t="n"/>
      <c r="W68" s="8" t="n"/>
      <c r="X68" s="8" t="n"/>
      <c r="Y68" s="8" t="n"/>
      <c r="Z68" s="8" t="n"/>
      <c r="AB68" s="8" t="n"/>
      <c r="AC68" s="8" t="n"/>
      <c r="AD68" s="8" t="n"/>
      <c r="AE68" s="8" t="n"/>
      <c r="AF68" s="8" t="n"/>
      <c r="AH68" s="8" t="n"/>
      <c r="AI68" s="8" t="n"/>
      <c r="AJ68" s="8" t="n"/>
      <c r="AK68" s="8" t="n"/>
      <c r="AL68" s="8" t="n"/>
      <c r="AN68" s="8" t="n"/>
      <c r="AO68" s="8" t="n"/>
      <c r="AP68" s="8" t="n"/>
      <c r="AQ68" s="8" t="n"/>
      <c r="AR68" s="8" t="n"/>
      <c r="AT68" s="8" t="n"/>
      <c r="AU68" s="8" t="n"/>
      <c r="AV68" s="8" t="n"/>
      <c r="AW68" s="8" t="n"/>
      <c r="AX68" s="8" t="n"/>
    </row>
    <row r="69">
      <c r="J69" s="8" t="n"/>
      <c r="K69" s="8" t="n"/>
      <c r="L69" s="8" t="n"/>
      <c r="M69" s="8" t="n"/>
      <c r="N69" s="8" t="n"/>
      <c r="P69" s="8" t="n"/>
      <c r="Q69" s="8" t="n"/>
      <c r="R69" s="8" t="n"/>
      <c r="S69" s="8" t="n"/>
      <c r="T69" s="8" t="n"/>
      <c r="V69" s="8" t="n"/>
      <c r="W69" s="8" t="n"/>
      <c r="X69" s="8" t="n"/>
      <c r="Y69" s="8" t="n"/>
      <c r="Z69" s="8" t="n"/>
      <c r="AB69" s="8" t="n"/>
      <c r="AC69" s="8" t="n"/>
      <c r="AD69" s="8" t="n"/>
      <c r="AE69" s="8" t="n"/>
      <c r="AF69" s="8" t="n"/>
      <c r="AH69" s="8" t="n"/>
      <c r="AI69" s="8" t="n"/>
      <c r="AJ69" s="8" t="n"/>
      <c r="AK69" s="8" t="n"/>
      <c r="AL69" s="8" t="n"/>
      <c r="AN69" s="8" t="n"/>
      <c r="AO69" s="8" t="n"/>
      <c r="AP69" s="8" t="n"/>
      <c r="AQ69" s="8" t="n"/>
      <c r="AR69" s="8" t="n"/>
      <c r="AT69" s="8" t="n"/>
      <c r="AU69" s="8" t="n"/>
      <c r="AV69" s="8" t="n"/>
      <c r="AW69" s="8" t="n"/>
      <c r="AX69" s="8" t="n"/>
    </row>
    <row r="70">
      <c r="J70" s="8" t="n"/>
      <c r="K70" s="8" t="n"/>
      <c r="L70" s="8" t="n"/>
      <c r="M70" s="8" t="n"/>
      <c r="N70" s="8" t="n"/>
      <c r="P70" s="8" t="n"/>
      <c r="Q70" s="8" t="n"/>
      <c r="R70" s="8" t="n"/>
      <c r="S70" s="8" t="n"/>
      <c r="T70" s="8" t="n"/>
      <c r="V70" s="8" t="n"/>
      <c r="W70" s="8" t="n"/>
      <c r="X70" s="8" t="n"/>
      <c r="Y70" s="8" t="n"/>
      <c r="Z70" s="8" t="n"/>
      <c r="AB70" s="8" t="n"/>
      <c r="AC70" s="8" t="n"/>
      <c r="AD70" s="8" t="n"/>
      <c r="AE70" s="8" t="n"/>
      <c r="AF70" s="8" t="n"/>
      <c r="AH70" s="8" t="n"/>
      <c r="AI70" s="8" t="n"/>
      <c r="AJ70" s="8" t="n"/>
      <c r="AK70" s="8" t="n"/>
      <c r="AL70" s="8" t="n"/>
      <c r="AN70" s="8" t="n"/>
      <c r="AO70" s="8" t="n"/>
      <c r="AP70" s="8" t="n"/>
      <c r="AQ70" s="8" t="n"/>
      <c r="AR70" s="8" t="n"/>
      <c r="AT70" s="8" t="n"/>
      <c r="AU70" s="8" t="n"/>
      <c r="AV70" s="8" t="n"/>
      <c r="AW70" s="8" t="n"/>
      <c r="AX70" s="8" t="n"/>
    </row>
    <row r="71">
      <c r="J71" s="8" t="n"/>
      <c r="K71" s="8" t="n"/>
      <c r="L71" s="8" t="n"/>
      <c r="M71" s="8" t="n"/>
      <c r="N71" s="8" t="n"/>
      <c r="P71" s="8" t="n"/>
      <c r="Q71" s="8" t="n"/>
      <c r="R71" s="8" t="n"/>
      <c r="S71" s="8" t="n"/>
      <c r="T71" s="8" t="n"/>
      <c r="V71" s="8" t="n"/>
      <c r="W71" s="8" t="n"/>
      <c r="X71" s="8" t="n"/>
      <c r="Y71" s="8" t="n"/>
      <c r="Z71" s="8" t="n"/>
      <c r="AB71" s="8" t="n"/>
      <c r="AC71" s="8" t="n"/>
      <c r="AD71" s="8" t="n"/>
      <c r="AE71" s="8" t="n"/>
      <c r="AF71" s="8" t="n"/>
      <c r="AH71" s="8" t="n"/>
      <c r="AI71" s="8" t="n"/>
      <c r="AJ71" s="8" t="n"/>
      <c r="AK71" s="8" t="n"/>
      <c r="AL71" s="8" t="n"/>
      <c r="AN71" s="8" t="n"/>
      <c r="AO71" s="8" t="n"/>
      <c r="AP71" s="8" t="n"/>
      <c r="AQ71" s="8" t="n"/>
      <c r="AR71" s="8" t="n"/>
      <c r="AT71" s="8" t="n"/>
      <c r="AU71" s="8" t="n"/>
      <c r="AV71" s="8" t="n"/>
      <c r="AW71" s="8" t="n"/>
      <c r="AX71" s="8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conditionalFormatting sqref="B6:H11">
    <cfRule type="expression" priority="1" dxfId="3">
      <formula>B6=TODAY()</formula>
    </cfRule>
    <cfRule type="expression" priority="2" dxfId="4">
      <formula>ROW()-ROW($B$6)+1=$B$2</formula>
    </cfRule>
    <cfRule type="expression" priority="3" dxfId="5">
      <formula>MONTH(B6)&lt;&gt;$H$1</formula>
    </cfRule>
  </conditionalFormatting>
  <conditionalFormatting sqref="C15:H19">
    <cfRule type="expression" priority="4" dxfId="2">
      <formula>$B15=TRUE</formula>
    </cfRule>
  </conditionalFormatting>
  <conditionalFormatting sqref="C23:H27">
    <cfRule type="expression" priority="5" dxfId="2">
      <formula>$B23=TRUE</formula>
    </cfRule>
  </conditionalFormatting>
  <conditionalFormatting sqref="J5:N5">
    <cfRule type="expression" priority="6" dxfId="0">
      <formula>$N$5=TODAY()</formula>
    </cfRule>
    <cfRule type="expression" priority="7" dxfId="6">
      <formula>MONTH($N$5)&lt;&gt;$H$1</formula>
    </cfRule>
  </conditionalFormatting>
  <conditionalFormatting sqref="M47:N56">
    <cfRule type="expression" priority="8" dxfId="2">
      <formula>$J47=TRUE</formula>
    </cfRule>
  </conditionalFormatting>
  <conditionalFormatting sqref="P5:T5">
    <cfRule type="expression" priority="9" dxfId="0">
      <formula>$T$5=TODAY()</formula>
    </cfRule>
    <cfRule type="expression" priority="10" dxfId="6">
      <formula>MONTH($T$5)&lt;&gt;$H$1</formula>
    </cfRule>
  </conditionalFormatting>
  <conditionalFormatting sqref="S47:T56">
    <cfRule type="expression" priority="11" dxfId="2">
      <formula>$P47=TRUE</formula>
    </cfRule>
  </conditionalFormatting>
  <conditionalFormatting sqref="V5:Z5">
    <cfRule type="expression" priority="12" dxfId="0">
      <formula>$Z$5=TODAY()</formula>
    </cfRule>
    <cfRule type="expression" priority="13" dxfId="6">
      <formula>MONTH($Z$5)&lt;&gt;$H$1</formula>
    </cfRule>
  </conditionalFormatting>
  <conditionalFormatting sqref="Y47:Z56">
    <cfRule type="expression" priority="14" dxfId="2">
      <formula>$V47=TRUE</formula>
    </cfRule>
  </conditionalFormatting>
  <conditionalFormatting sqref="AB5:AF5">
    <cfRule type="expression" priority="15" dxfId="0">
      <formula>$AF$5=TODAY()</formula>
    </cfRule>
    <cfRule type="expression" priority="16" dxfId="6">
      <formula>MONTH($AF$5)&lt;&gt;$H$1</formula>
    </cfRule>
  </conditionalFormatting>
  <conditionalFormatting sqref="AE47:AF56">
    <cfRule type="expression" priority="17" dxfId="2">
      <formula>$AB47=TRUE</formula>
    </cfRule>
  </conditionalFormatting>
  <conditionalFormatting sqref="AH5:AL5">
    <cfRule type="expression" priority="18" dxfId="0">
      <formula>$AL$5=TODAY()</formula>
    </cfRule>
    <cfRule type="expression" priority="19" dxfId="6">
      <formula>MONTH($AL$5)&lt;&gt;$H$1</formula>
    </cfRule>
  </conditionalFormatting>
  <conditionalFormatting sqref="AK47:AL56">
    <cfRule type="expression" priority="20" dxfId="2">
      <formula>$AH47=TRUE</formula>
    </cfRule>
  </conditionalFormatting>
  <conditionalFormatting sqref="AN5:AR5">
    <cfRule type="expression" priority="21" dxfId="0">
      <formula>$AR$5=TODAY()</formula>
    </cfRule>
    <cfRule type="expression" priority="22" dxfId="6">
      <formula>MONTH($AR$5)&lt;&gt;$H$1</formula>
    </cfRule>
  </conditionalFormatting>
  <conditionalFormatting sqref="AQ47:AR56">
    <cfRule type="expression" priority="23" dxfId="2">
      <formula>$AN47=TRUE</formula>
    </cfRule>
  </conditionalFormatting>
  <conditionalFormatting sqref="AT5:AX5">
    <cfRule type="expression" priority="24" dxfId="0">
      <formula>$AX$5=TODAY()</formula>
    </cfRule>
    <cfRule type="expression" priority="25" dxfId="6">
      <formula>MONTH($AX$5)&lt;&gt;$H$1</formula>
    </cfRule>
  </conditionalFormatting>
  <conditionalFormatting sqref="AW47:AX56">
    <cfRule type="expression" priority="26" dxfId="2">
      <formula>$AT47=TRUE</formula>
    </cfRule>
  </conditionalFormatting>
  <conditionalFormatting sqref="K47:K56 Q47:Q56 W47:W56 AC47:AC56 AI47:AI56 AO47:AO56 AU47:AU56">
    <cfRule type="expression" priority="27" dxfId="7">
      <formula>AND(K47&lt;&gt;"",K47=INDIRECT("Settings!$B$12"))</formula>
    </cfRule>
    <cfRule type="expression" priority="28" dxfId="8">
      <formula>AND(K47&lt;&gt;"",K47=INDIRECT("Settings!$B$13"))</formula>
    </cfRule>
    <cfRule type="expression" priority="29" dxfId="9">
      <formula>AND(K47&lt;&gt;"",K47=INDIRECT("Settings!$B$14"))</formula>
    </cfRule>
    <cfRule type="expression" priority="30" dxfId="10">
      <formula>AND(K47&lt;&gt;"",K47=INDIRECT("Settings!$B$15"))</formula>
    </cfRule>
    <cfRule type="expression" priority="31" dxfId="11">
      <formula>AND(K47&lt;&gt;"",K47=INDIRECT("Settings!$B$16"))</formula>
    </cfRule>
    <cfRule type="expression" priority="32" dxfId="12">
      <formula>AND(K47&lt;&gt;"",K47=INDIRECT("Settings!$B$17"))</formula>
    </cfRule>
    <cfRule type="expression" priority="33" dxfId="13">
      <formula>AND(K47&lt;&gt;"",K47=INDIRECT("Settings!$B$18"))</formula>
    </cfRule>
    <cfRule type="expression" priority="58" dxfId="14">
      <formula>AND(K47&lt;&gt;"",COUNTIF(INDIRECT("Settings!B12:B18"),K47)=0)</formula>
    </cfRule>
  </conditionalFormatting>
  <conditionalFormatting sqref="L47:L56 R47:R56 X47:X56 AD47:AD56 AJ47:AJ56 AP47:AP56 AV47:AV56">
    <cfRule type="expression" priority="34" dxfId="15">
      <formula>AND(L47&lt;&gt;"",L47=INDIRECT("Settings!$B$22"))</formula>
    </cfRule>
    <cfRule type="expression" priority="36" dxfId="16">
      <formula>AND(L47&lt;&gt;"",L47=INDIRECT("Settings!$B$23"))</formula>
    </cfRule>
    <cfRule type="expression" priority="38" dxfId="17">
      <formula>AND(L47&lt;&gt;"",L47=INDIRECT("Settings!$B$24"))</formula>
    </cfRule>
    <cfRule type="expression" priority="40" dxfId="18">
      <formula>AND(L47&lt;&gt;"",L47=INDIRECT("Settings!$B$25"))</formula>
    </cfRule>
    <cfRule type="expression" priority="42" dxfId="19">
      <formula>AND(L47&lt;&gt;"",L47=INDIRECT("Settings!$B$26"))</formula>
    </cfRule>
    <cfRule type="expression" priority="44" dxfId="20">
      <formula>AND(L47&lt;&gt;"",L47=INDIRECT("Settings!$B$27"))</formula>
    </cfRule>
    <cfRule type="expression" priority="46" dxfId="21">
      <formula>AND(L47&lt;&gt;"",L47=INDIRECT("Settings!$B$28"))</formula>
    </cfRule>
    <cfRule type="expression" priority="48" dxfId="22">
      <formula>AND(L47&lt;&gt;"",L47=INDIRECT("Settings!$B$29"))</formula>
    </cfRule>
    <cfRule type="expression" priority="50" dxfId="23">
      <formula>AND(L47&lt;&gt;"",L47=INDIRECT("Settings!$B$30"))</formula>
    </cfRule>
    <cfRule type="expression" priority="52" dxfId="24">
      <formula>AND(L47&lt;&gt;"",L47=INDIRECT("Settings!$B$31"))</formula>
    </cfRule>
    <cfRule type="expression" priority="54" dxfId="25">
      <formula>AND(L47&lt;&gt;"",L47=INDIRECT("Settings!$B$32"))</formula>
    </cfRule>
    <cfRule type="expression" priority="56" dxfId="26">
      <formula>AND(L47&lt;&gt;"",L47=INDIRECT("Settings!$B$33"))</formula>
    </cfRule>
    <cfRule type="expression" priority="59" dxfId="14">
      <formula>AND(L47&lt;&gt;"",COUNTIF(INDIRECT("Settings!B22:B33"),L47)=0)</formula>
    </cfRule>
  </conditionalFormatting>
  <conditionalFormatting sqref="N9:N44 T9:T44 Z9:Z44 AF9:AF44 AL9:AL44 AR9:AR44 AX9:AX44">
    <cfRule type="expression" priority="35" dxfId="15">
      <formula>AND(N9&lt;&gt;"",N9=INDIRECT("Settings!$B$22"))</formula>
    </cfRule>
    <cfRule type="expression" priority="37" dxfId="16">
      <formula>AND(N9&lt;&gt;"",N9=INDIRECT("Settings!$B$23"))</formula>
    </cfRule>
    <cfRule type="expression" priority="39" dxfId="17">
      <formula>AND(N9&lt;&gt;"",N9=INDIRECT("Settings!$B$24"))</formula>
    </cfRule>
    <cfRule type="expression" priority="41" dxfId="18">
      <formula>AND(N9&lt;&gt;"",N9=INDIRECT("Settings!$B$25"))</formula>
    </cfRule>
    <cfRule type="expression" priority="43" dxfId="19">
      <formula>AND(N9&lt;&gt;"",N9=INDIRECT("Settings!$B$26"))</formula>
    </cfRule>
    <cfRule type="expression" priority="45" dxfId="20">
      <formula>AND(N9&lt;&gt;"",N9=INDIRECT("Settings!$B$27"))</formula>
    </cfRule>
    <cfRule type="expression" priority="47" dxfId="21">
      <formula>AND(N9&lt;&gt;"",N9=INDIRECT("Settings!$B$28"))</formula>
    </cfRule>
    <cfRule type="expression" priority="49" dxfId="22">
      <formula>AND(N9&lt;&gt;"",N9=INDIRECT("Settings!$B$29"))</formula>
    </cfRule>
    <cfRule type="expression" priority="51" dxfId="23">
      <formula>AND(N9&lt;&gt;"",N9=INDIRECT("Settings!$B$30"))</formula>
    </cfRule>
    <cfRule type="expression" priority="53" dxfId="24">
      <formula>AND(N9&lt;&gt;"",N9=INDIRECT("Settings!$B$31"))</formula>
    </cfRule>
    <cfRule type="expression" priority="55" dxfId="25">
      <formula>AND(N9&lt;&gt;"",N9=INDIRECT("Settings!$B$32"))</formula>
    </cfRule>
    <cfRule type="expression" priority="57" dxfId="26">
      <formula>AND(N9&lt;&gt;"",N9=INDIRECT("Settings!$B$33"))</formula>
    </cfRule>
    <cfRule type="expression" priority="60" dxfId="14">
      <formula>AND(N9&lt;&gt;"",COUNTIF(INDIRECT("Settings!B22:B33"),N9)=0)</formula>
    </cfRule>
  </conditionalFormatting>
  <conditionalFormatting sqref="B4:BJ71">
    <cfRule type="expression" priority="61" dxfId="5">
      <formula>$B$3&lt;&gt;""</formula>
    </cfRule>
  </conditionalFormatting>
  <conditionalFormatting sqref="BB6:BH26">
    <cfRule type="expression" priority="62" dxfId="27">
      <formula>BB6=TRUE</formula>
    </cfRule>
  </conditionalFormatting>
  <conditionalFormatting sqref="BA6:BJ26">
    <cfRule type="expression" priority="63" dxfId="28">
      <formula>$BA6=""</formula>
    </cfRule>
  </conditionalFormatting>
  <dataValidations count="7">
    <dataValidation sqref="K47:K56 Q47:Q56 W47:W56 AC47:AC56 AI47:AI56 AO47:AO56 AU47:AU56" showDropDown="0" showInputMessage="0" showErrorMessage="0" allowBlank="1" type="list">
      <formula1>=Settings!$B$12:$B$18</formula1>
    </dataValidation>
    <dataValidation sqref="L47:L56 N9:N44 R47:R56 T9:T44 X47:X56 Z9:Z44 AD47:AD56 AF9:AF44 AJ47:AJ56 AL9:AL44 AP47:AP56 AR9:AR44 AV47:AV56 AX9:AX44" showDropDown="0" showInputMessage="0" showErrorMessage="0" allowBlank="1" type="list">
      <formula1>=Settings!$B$22:$B$33</formula1>
    </dataValidation>
    <dataValidation sqref="BB31:BH31" showDropDown="0" showInputMessage="0" showErrorMessage="1" allowBlank="1" errorTitle="Out of range" error="Value must be between Min and Max set on the Settings tab." type="decimal" operator="between">
      <formula1>Settings!$D$61</formula1>
      <formula2>Settings!$E$61</formula2>
    </dataValidation>
    <dataValidation sqref="BB33:BH33" showDropDown="0" showInputMessage="0" showErrorMessage="1" allowBlank="1" errorTitle="Out of range" error="Value must be between Min and Max set on the Settings tab." type="decimal" operator="between">
      <formula1>Settings!$D$62</formula1>
      <formula2>Settings!$E$62</formula2>
    </dataValidation>
    <dataValidation sqref="BB35:BH35" showDropDown="0" showInputMessage="0" showErrorMessage="1" allowBlank="1" errorTitle="Out of range" error="Value must be between Min and Max set on the Settings tab." type="decimal" operator="between">
      <formula1>Settings!$D$63</formula1>
      <formula2>Settings!$E$63</formula2>
    </dataValidation>
    <dataValidation sqref="BB37:BH37" showDropDown="0" showInputMessage="0" showErrorMessage="1" allowBlank="1" errorTitle="Out of range" error="Value must be between Min and Max set on the Settings tab." type="decimal" operator="between">
      <formula1>Settings!$D$64</formula1>
      <formula2>Settings!$E$64</formula2>
    </dataValidation>
    <dataValidation sqref="BB39:BH39" showDropDown="0" showInputMessage="0" showErrorMessage="1" allowBlank="1" errorTitle="Out of range" error="Value must be between Min and Max set on the Settings tab." type="decimal" operator="between">
      <formula1>Settings!$D$65</formula1>
      <formula2>Settings!$E$65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selection activeCell="A1" sqref="A1"/>
    </sheetView>
  </sheetViews>
  <sheetFormatPr baseColWidth="8" defaultRowHeight="15"/>
  <cols>
    <col width="22" customWidth="1" min="6" max="6"/>
  </cols>
  <sheetData>
    <row r="1">
      <c r="A1" s="27" t="inlineStr">
        <is>
          <t>SelMonth</t>
        </is>
      </c>
      <c r="B1" s="44">
        <f>MATCH(Settings!$C$3,Lists!$A$1:$A$12,0)</f>
        <v/>
      </c>
      <c r="D1">
        <f>IF(INDEX(Settings!$C$69:$C$75,WEEKDAY($B$7+0,1))="",INDEX(Settings!$B$69:$B$75,WEEKDAY($B$7+0,1)),INDEX(Settings!$C$69:$C$75,WEEKDAY($B$7+0,1)))</f>
        <v/>
      </c>
      <c r="E1">
        <f>IF(INDEX(Settings!$C$69:$C$75,WEEKDAY($B$7+1,1))="",INDEX(Settings!$B$69:$B$75,WEEKDAY($B$7+1,1)),INDEX(Settings!$C$69:$C$75,WEEKDAY($B$7+1,1)))</f>
        <v/>
      </c>
      <c r="F1">
        <f>IF(INDEX(Settings!$C$69:$C$75,WEEKDAY($B$7+2,1))="",INDEX(Settings!$B$69:$B$75,WEEKDAY($B$7+2,1)),INDEX(Settings!$C$69:$C$75,WEEKDAY($B$7+2,1)))</f>
        <v/>
      </c>
      <c r="G1">
        <f>IF(INDEX(Settings!$C$69:$C$75,WEEKDAY($B$7+3,1))="",INDEX(Settings!$B$69:$B$75,WEEKDAY($B$7+3,1)),INDEX(Settings!$C$69:$C$75,WEEKDAY($B$7+3,1)))</f>
        <v/>
      </c>
      <c r="H1">
        <f>IF(INDEX(Settings!$C$69:$C$75,WEEKDAY($B$7+4,1))="",INDEX(Settings!$B$69:$B$75,WEEKDAY($B$7+4,1)),INDEX(Settings!$C$69:$C$75,WEEKDAY($B$7+4,1)))</f>
        <v/>
      </c>
      <c r="I1">
        <f>IF(INDEX(Settings!$C$69:$C$75,WEEKDAY($B$7+5,1))="",INDEX(Settings!$B$69:$B$75,WEEKDAY($B$7+5,1)),INDEX(Settings!$C$69:$C$75,WEEKDAY($B$7+5,1)))</f>
        <v/>
      </c>
      <c r="J1">
        <f>IF(INDEX(Settings!$C$69:$C$75,WEEKDAY($B$7+6,1))="",INDEX(Settings!$B$69:$B$75,WEEKDAY($B$7+6,1)),INDEX(Settings!$C$69:$C$75,WEEKDAY($B$7+6,1)))</f>
        <v/>
      </c>
    </row>
    <row r="2">
      <c r="A2" t="inlineStr">
        <is>
          <t>FirstDay</t>
        </is>
      </c>
      <c r="B2" s="45">
        <f>DATE(Settings!$C$4,B1,1)</f>
        <v/>
      </c>
      <c r="L2" t="inlineStr">
        <is>
          <t>Month name</t>
        </is>
      </c>
      <c r="M2">
        <f>IF(INDEX(Settings!$C$79:$C$90,B1)="",INDEX(Settings!$B$79:$B$90,B1),INDEX(Settings!$C$79:$C$90,B1))</f>
        <v/>
      </c>
    </row>
    <row r="3">
      <c r="A3" t="inlineStr">
        <is>
          <t>LastDay</t>
        </is>
      </c>
      <c r="B3" s="45">
        <f>EOMONTH(B2,0)</f>
        <v/>
      </c>
      <c r="D3" s="46">
        <f>$B$7+7*0+0</f>
        <v/>
      </c>
      <c r="E3" s="46">
        <f>$B$7+7*0+1</f>
        <v/>
      </c>
      <c r="F3" s="46">
        <f>$B$7+7*0+2</f>
        <v/>
      </c>
      <c r="G3" s="46">
        <f>$B$7+7*0+3</f>
        <v/>
      </c>
      <c r="H3" s="46">
        <f>$B$7+7*0+4</f>
        <v/>
      </c>
      <c r="I3" s="46">
        <f>$B$7+7*0+5</f>
        <v/>
      </c>
      <c r="J3" s="46">
        <f>$B$7+7*0+6</f>
        <v/>
      </c>
      <c r="L3" t="inlineStr">
        <is>
          <t>Title</t>
        </is>
      </c>
      <c r="M3">
        <f>M2&amp;" "&amp;Settings!C4</f>
        <v/>
      </c>
    </row>
    <row r="4">
      <c r="A4" t="inlineStr">
        <is>
          <t>DaysInMonth</t>
        </is>
      </c>
      <c r="B4" s="44">
        <f>DAY(B3)</f>
        <v/>
      </c>
      <c r="D4" s="46">
        <f>$B$7+7*1+0</f>
        <v/>
      </c>
      <c r="E4" s="46">
        <f>$B$7+7*1+1</f>
        <v/>
      </c>
      <c r="F4" s="46">
        <f>$B$7+7*1+2</f>
        <v/>
      </c>
      <c r="G4" s="46">
        <f>$B$7+7*1+3</f>
        <v/>
      </c>
      <c r="H4" s="46">
        <f>$B$7+7*1+4</f>
        <v/>
      </c>
      <c r="I4" s="46">
        <f>$B$7+7*1+5</f>
        <v/>
      </c>
      <c r="J4" s="46">
        <f>$B$7+7*1+6</f>
        <v/>
      </c>
    </row>
    <row r="5">
      <c r="A5" t="inlineStr">
        <is>
          <t>WSType</t>
        </is>
      </c>
      <c r="B5" s="44">
        <f>IF(Settings!$C$5="Monday",2,1)</f>
        <v/>
      </c>
      <c r="D5" s="46">
        <f>$B$7+7*2+0</f>
        <v/>
      </c>
      <c r="E5" s="46">
        <f>$B$7+7*2+1</f>
        <v/>
      </c>
      <c r="F5" s="46">
        <f>$B$7+7*2+2</f>
        <v/>
      </c>
      <c r="G5" s="46">
        <f>$B$7+7*2+3</f>
        <v/>
      </c>
      <c r="H5" s="46">
        <f>$B$7+7*2+4</f>
        <v/>
      </c>
      <c r="I5" s="46">
        <f>$B$7+7*2+5</f>
        <v/>
      </c>
      <c r="J5" s="46">
        <f>$B$7+7*2+6</f>
        <v/>
      </c>
    </row>
    <row r="6">
      <c r="A6" t="inlineStr">
        <is>
          <t>Offset</t>
        </is>
      </c>
      <c r="B6" s="44">
        <f>WEEKDAY(B2,B5)-1</f>
        <v/>
      </c>
      <c r="D6" s="46">
        <f>$B$7+7*3+0</f>
        <v/>
      </c>
      <c r="E6" s="46">
        <f>$B$7+7*3+1</f>
        <v/>
      </c>
      <c r="F6" s="46">
        <f>$B$7+7*3+2</f>
        <v/>
      </c>
      <c r="G6" s="46">
        <f>$B$7+7*3+3</f>
        <v/>
      </c>
      <c r="H6" s="46">
        <f>$B$7+7*3+4</f>
        <v/>
      </c>
      <c r="I6" s="46">
        <f>$B$7+7*3+5</f>
        <v/>
      </c>
      <c r="J6" s="46">
        <f>$B$7+7*3+6</f>
        <v/>
      </c>
    </row>
    <row r="7">
      <c r="A7" t="inlineStr">
        <is>
          <t>GridStart</t>
        </is>
      </c>
      <c r="B7" s="45">
        <f>B2-B6</f>
        <v/>
      </c>
      <c r="D7" s="46">
        <f>$B$7+7*4+0</f>
        <v/>
      </c>
      <c r="E7" s="46">
        <f>$B$7+7*4+1</f>
        <v/>
      </c>
      <c r="F7" s="46">
        <f>$B$7+7*4+2</f>
        <v/>
      </c>
      <c r="G7" s="46">
        <f>$B$7+7*4+3</f>
        <v/>
      </c>
      <c r="H7" s="46">
        <f>$B$7+7*4+4</f>
        <v/>
      </c>
      <c r="I7" s="46">
        <f>$B$7+7*4+5</f>
        <v/>
      </c>
      <c r="J7" s="46">
        <f>$B$7+7*4+6</f>
        <v/>
      </c>
    </row>
    <row r="8">
      <c r="A8" t="inlineStr">
        <is>
          <t>WeeksNeeded</t>
        </is>
      </c>
      <c r="B8" s="44">
        <f>ROUNDUP((B6+B4)/7,0)</f>
        <v/>
      </c>
      <c r="D8" s="46">
        <f>$B$7+7*5+0</f>
        <v/>
      </c>
      <c r="E8" s="46">
        <f>$B$7+7*5+1</f>
        <v/>
      </c>
      <c r="F8" s="46">
        <f>$B$7+7*5+2</f>
        <v/>
      </c>
      <c r="G8" s="46">
        <f>$B$7+7*5+3</f>
        <v/>
      </c>
      <c r="H8" s="46">
        <f>$B$7+7*5+4</f>
        <v/>
      </c>
      <c r="I8" s="46">
        <f>$B$7+7*5+5</f>
        <v/>
      </c>
      <c r="J8" s="46">
        <f>$B$7+7*5+6</f>
        <v/>
      </c>
    </row>
    <row r="9">
      <c r="B9" t="inlineStr">
        <is>
          <t>start</t>
        </is>
      </c>
      <c r="C9" t="inlineStr">
        <is>
          <t>clip start</t>
        </is>
      </c>
      <c r="D9" t="inlineStr">
        <is>
          <t>clip end</t>
        </is>
      </c>
      <c r="E9" t="inlineStr">
        <is>
          <t>active</t>
        </is>
      </c>
      <c r="F9" t="inlineStr">
        <is>
          <t>label</t>
        </is>
      </c>
    </row>
    <row r="10">
      <c r="A10" t="n">
        <v>1</v>
      </c>
      <c r="B10" s="46">
        <f>$B$7+7*0</f>
        <v/>
      </c>
      <c r="C10" s="46">
        <f>MAX(B10,$B$2)</f>
        <v/>
      </c>
      <c r="D10" s="46">
        <f>MIN(B10+6,$B$3)</f>
        <v/>
      </c>
      <c r="E10">
        <f>1&lt;=$B$8</f>
        <v/>
      </c>
      <c r="F10">
        <f>IF(E10,TEXT(C10,"mmm d")&amp;" - "&amp;TEXT(D10,"mmm d"),"Not used this month")</f>
        <v/>
      </c>
    </row>
    <row r="11">
      <c r="A11" t="n">
        <v>2</v>
      </c>
      <c r="B11" s="46">
        <f>$B$7+7*1</f>
        <v/>
      </c>
      <c r="C11" s="46">
        <f>MAX(B11,$B$2)</f>
        <v/>
      </c>
      <c r="D11" s="46">
        <f>MIN(B11+6,$B$3)</f>
        <v/>
      </c>
      <c r="E11">
        <f>2&lt;=$B$8</f>
        <v/>
      </c>
      <c r="F11">
        <f>IF(E11,TEXT(C11,"mmm d")&amp;" - "&amp;TEXT(D11,"mmm d"),"Not used this month")</f>
        <v/>
      </c>
    </row>
    <row r="12">
      <c r="A12" t="n">
        <v>3</v>
      </c>
      <c r="B12" s="46">
        <f>$B$7+7*2</f>
        <v/>
      </c>
      <c r="C12" s="46">
        <f>MAX(B12,$B$2)</f>
        <v/>
      </c>
      <c r="D12" s="46">
        <f>MIN(B12+6,$B$3)</f>
        <v/>
      </c>
      <c r="E12">
        <f>3&lt;=$B$8</f>
        <v/>
      </c>
      <c r="F12">
        <f>IF(E12,TEXT(C12,"mmm d")&amp;" - "&amp;TEXT(D12,"mmm d"),"Not used this month")</f>
        <v/>
      </c>
    </row>
    <row r="13">
      <c r="A13" t="n">
        <v>4</v>
      </c>
      <c r="B13" s="46">
        <f>$B$7+7*3</f>
        <v/>
      </c>
      <c r="C13" s="46">
        <f>MAX(B13,$B$2)</f>
        <v/>
      </c>
      <c r="D13" s="46">
        <f>MIN(B13+6,$B$3)</f>
        <v/>
      </c>
      <c r="E13">
        <f>4&lt;=$B$8</f>
        <v/>
      </c>
      <c r="F13">
        <f>IF(E13,TEXT(C13,"mmm d")&amp;" - "&amp;TEXT(D13,"mmm d"),"Not used this month")</f>
        <v/>
      </c>
    </row>
    <row r="14">
      <c r="A14" t="n">
        <v>5</v>
      </c>
      <c r="B14" s="46">
        <f>$B$7+7*4</f>
        <v/>
      </c>
      <c r="C14" s="46">
        <f>MAX(B14,$B$2)</f>
        <v/>
      </c>
      <c r="D14" s="46">
        <f>MIN(B14+6,$B$3)</f>
        <v/>
      </c>
      <c r="E14">
        <f>5&lt;=$B$8</f>
        <v/>
      </c>
      <c r="F14">
        <f>IF(E14,TEXT(C14,"mmm d")&amp;" - "&amp;TEXT(D14,"mmm d"),"Not used this month")</f>
        <v/>
      </c>
    </row>
    <row r="15">
      <c r="A15" t="n">
        <v>6</v>
      </c>
      <c r="B15" s="46">
        <f>$B$7+7*5</f>
        <v/>
      </c>
      <c r="C15" s="46">
        <f>MAX(B15,$B$2)</f>
        <v/>
      </c>
      <c r="D15" s="46">
        <f>MIN(B15+6,$B$3)</f>
        <v/>
      </c>
      <c r="E15">
        <f>6&lt;=$B$8</f>
        <v/>
      </c>
      <c r="F15">
        <f>IF(E15,TEXT(C15,"mmm d")&amp;" - "&amp;TEXT(D15,"mmm d"),"Not used this month")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C1" t="inlineStr">
        <is>
          <t>Sunday</t>
        </is>
      </c>
    </row>
    <row r="2">
      <c r="A2" t="inlineStr">
        <is>
          <t>February</t>
        </is>
      </c>
      <c r="C2" t="inlineStr">
        <is>
          <t>Monday</t>
        </is>
      </c>
    </row>
    <row r="3">
      <c r="A3" t="inlineStr">
        <is>
          <t>March</t>
        </is>
      </c>
      <c r="C3" t="inlineStr">
        <is>
          <t>Tuesday</t>
        </is>
      </c>
    </row>
    <row r="4">
      <c r="A4" t="inlineStr">
        <is>
          <t>April</t>
        </is>
      </c>
      <c r="C4" t="inlineStr">
        <is>
          <t>Wednesday</t>
        </is>
      </c>
    </row>
    <row r="5">
      <c r="A5" t="inlineStr">
        <is>
          <t>May</t>
        </is>
      </c>
      <c r="C5" t="inlineStr">
        <is>
          <t>Thursday</t>
        </is>
      </c>
    </row>
    <row r="6">
      <c r="A6" t="inlineStr">
        <is>
          <t>June</t>
        </is>
      </c>
      <c r="C6" t="inlineStr">
        <is>
          <t>Friday</t>
        </is>
      </c>
    </row>
    <row r="7">
      <c r="A7" t="inlineStr">
        <is>
          <t>July</t>
        </is>
      </c>
      <c r="C7" t="inlineStr">
        <is>
          <t>Saturday</t>
        </is>
      </c>
    </row>
    <row r="8">
      <c r="A8" t="inlineStr">
        <is>
          <t>August</t>
        </is>
      </c>
    </row>
    <row r="9">
      <c r="A9" t="inlineStr">
        <is>
          <t>September</t>
        </is>
      </c>
    </row>
    <row r="10">
      <c r="A10" t="inlineStr">
        <is>
          <t>October</t>
        </is>
      </c>
    </row>
    <row r="11">
      <c r="A11" t="inlineStr">
        <is>
          <t>November</t>
        </is>
      </c>
    </row>
    <row r="12">
      <c r="A12" t="inlineStr">
        <is>
          <t>December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2026-10-01T11:35:28Z</dcterms:created>
  <dcterms:modified xsi:type="dcterms:W3CDTF">2026-10-01T11:35:29Z</dcterms:modified>
</cp:coreProperties>
</file>